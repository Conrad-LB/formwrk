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bconcretesolutionsau-my.sharepoint.com/personal/conrad_lbconcretesolutions_com_au/Documents/CK Docs/Claude/formwrk/"/>
    </mc:Choice>
  </mc:AlternateContent>
  <xr:revisionPtr revIDLastSave="10" documentId="11_59CC1ABAD3EC6C0E94C013AB08010BDCA0090EDB" xr6:coauthVersionLast="47" xr6:coauthVersionMax="47" xr10:uidLastSave="{D9851C5C-AF5C-40BD-801D-82B9B143C276}"/>
  <bookViews>
    <workbookView xWindow="165" yWindow="1440" windowWidth="21600" windowHeight="11295" xr2:uid="{00000000-000D-0000-FFFF-FFFF00000000}"/>
  </bookViews>
  <sheets>
    <sheet name="Mat. Selection v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15" i="1" l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J115" i="1"/>
  <c r="I115" i="1"/>
  <c r="H115" i="1"/>
  <c r="G115" i="1"/>
  <c r="F115" i="1"/>
  <c r="E115" i="1"/>
  <c r="D115" i="1"/>
  <c r="C115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J111" i="1"/>
  <c r="I111" i="1"/>
  <c r="H111" i="1"/>
  <c r="G111" i="1"/>
  <c r="F111" i="1"/>
  <c r="E111" i="1"/>
  <c r="D111" i="1"/>
  <c r="C111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J110" i="1"/>
  <c r="I110" i="1"/>
  <c r="H110" i="1"/>
  <c r="G110" i="1"/>
  <c r="F110" i="1"/>
  <c r="E110" i="1"/>
  <c r="D110" i="1"/>
  <c r="C110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J106" i="1"/>
  <c r="I106" i="1"/>
  <c r="H106" i="1"/>
  <c r="G106" i="1"/>
  <c r="F106" i="1"/>
  <c r="E106" i="1"/>
  <c r="D106" i="1"/>
  <c r="C106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J105" i="1"/>
  <c r="I105" i="1"/>
  <c r="H105" i="1"/>
  <c r="G105" i="1"/>
  <c r="F105" i="1"/>
  <c r="E105" i="1"/>
  <c r="D105" i="1"/>
  <c r="C105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J104" i="1"/>
  <c r="I104" i="1"/>
  <c r="H104" i="1"/>
  <c r="G104" i="1"/>
  <c r="F104" i="1"/>
  <c r="E104" i="1"/>
  <c r="D104" i="1"/>
  <c r="C104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J103" i="1"/>
  <c r="I103" i="1"/>
  <c r="H103" i="1"/>
  <c r="G103" i="1"/>
  <c r="F103" i="1"/>
  <c r="E103" i="1"/>
  <c r="D103" i="1"/>
  <c r="C103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J102" i="1"/>
  <c r="I102" i="1"/>
  <c r="H102" i="1"/>
  <c r="G102" i="1"/>
  <c r="F102" i="1"/>
  <c r="E102" i="1"/>
  <c r="D102" i="1"/>
  <c r="C102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J100" i="1"/>
  <c r="I100" i="1"/>
  <c r="H100" i="1"/>
  <c r="G100" i="1"/>
  <c r="F100" i="1"/>
  <c r="E100" i="1"/>
  <c r="D100" i="1"/>
  <c r="C100" i="1"/>
  <c r="AE99" i="1"/>
  <c r="AD99" i="1"/>
  <c r="AC99" i="1"/>
  <c r="AB99" i="1"/>
  <c r="AA99" i="1"/>
  <c r="Z99" i="1"/>
  <c r="Y99" i="1"/>
  <c r="Y101" i="1" s="1"/>
  <c r="X99" i="1"/>
  <c r="W99" i="1"/>
  <c r="V99" i="1"/>
  <c r="U99" i="1"/>
  <c r="T99" i="1"/>
  <c r="S99" i="1"/>
  <c r="R99" i="1"/>
  <c r="J99" i="1"/>
  <c r="I99" i="1"/>
  <c r="H99" i="1"/>
  <c r="G99" i="1"/>
  <c r="F99" i="1"/>
  <c r="E99" i="1"/>
  <c r="D99" i="1"/>
  <c r="D101" i="1" s="1"/>
  <c r="C99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R101" i="1" s="1"/>
  <c r="J98" i="1"/>
  <c r="I98" i="1"/>
  <c r="H98" i="1"/>
  <c r="G98" i="1"/>
  <c r="F98" i="1"/>
  <c r="E98" i="1"/>
  <c r="D98" i="1"/>
  <c r="C98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AE53" i="1"/>
  <c r="AD53" i="1"/>
  <c r="AC53" i="1"/>
  <c r="AB53" i="1"/>
  <c r="AA53" i="1"/>
  <c r="Z53" i="1"/>
  <c r="Y53" i="1"/>
  <c r="X53" i="1"/>
  <c r="X56" i="1" s="1"/>
  <c r="W53" i="1"/>
  <c r="W56" i="1" s="1"/>
  <c r="V53" i="1"/>
  <c r="V56" i="1" s="1"/>
  <c r="U53" i="1"/>
  <c r="U56" i="1" s="1"/>
  <c r="T53" i="1"/>
  <c r="S53" i="1"/>
  <c r="R53" i="1"/>
  <c r="P53" i="1"/>
  <c r="P56" i="1" s="1"/>
  <c r="O53" i="1"/>
  <c r="O56" i="1" s="1"/>
  <c r="O68" i="1" s="1"/>
  <c r="N53" i="1"/>
  <c r="M53" i="1"/>
  <c r="M56" i="1" s="1"/>
  <c r="L53" i="1"/>
  <c r="L56" i="1" s="1"/>
  <c r="K53" i="1"/>
  <c r="J53" i="1"/>
  <c r="J56" i="1" s="1"/>
  <c r="I53" i="1"/>
  <c r="H53" i="1"/>
  <c r="H56" i="1" s="1"/>
  <c r="G53" i="1"/>
  <c r="G56" i="1" s="1"/>
  <c r="F53" i="1"/>
  <c r="F56" i="1" s="1"/>
  <c r="E53" i="1"/>
  <c r="E56" i="1" s="1"/>
  <c r="D53" i="1"/>
  <c r="C53" i="1"/>
  <c r="D6" i="1"/>
  <c r="C6" i="1"/>
  <c r="C40" i="1" s="1"/>
  <c r="S101" i="1" l="1"/>
  <c r="T101" i="1"/>
  <c r="T108" i="1" s="1"/>
  <c r="T116" i="1" s="1"/>
  <c r="Y56" i="1"/>
  <c r="Y68" i="1" s="1"/>
  <c r="Y72" i="1" s="1"/>
  <c r="AA56" i="1"/>
  <c r="AA68" i="1" s="1"/>
  <c r="N56" i="1"/>
  <c r="W101" i="1"/>
  <c r="W113" i="1" s="1"/>
  <c r="W117" i="1" s="1"/>
  <c r="V101" i="1"/>
  <c r="V108" i="1" s="1"/>
  <c r="V116" i="1" s="1"/>
  <c r="U101" i="1"/>
  <c r="U108" i="1" s="1"/>
  <c r="U116" i="1" s="1"/>
  <c r="I56" i="1"/>
  <c r="I68" i="1" s="1"/>
  <c r="Z56" i="1"/>
  <c r="Z63" i="1" s="1"/>
  <c r="Z71" i="1" s="1"/>
  <c r="T56" i="1"/>
  <c r="T63" i="1" s="1"/>
  <c r="AB56" i="1"/>
  <c r="AB63" i="1" s="1"/>
  <c r="AC56" i="1"/>
  <c r="AC63" i="1" s="1"/>
  <c r="AE101" i="1"/>
  <c r="AE108" i="1" s="1"/>
  <c r="AE116" i="1" s="1"/>
  <c r="C39" i="1"/>
  <c r="J101" i="1"/>
  <c r="AD56" i="1"/>
  <c r="R56" i="1"/>
  <c r="R68" i="1" s="1"/>
  <c r="S56" i="1"/>
  <c r="S68" i="1" s="1"/>
  <c r="H101" i="1"/>
  <c r="H113" i="1" s="1"/>
  <c r="H117" i="1" s="1"/>
  <c r="AC101" i="1"/>
  <c r="AC113" i="1" s="1"/>
  <c r="AC117" i="1" s="1"/>
  <c r="N68" i="1"/>
  <c r="AE56" i="1"/>
  <c r="AE63" i="1" s="1"/>
  <c r="C56" i="1"/>
  <c r="C68" i="1" s="1"/>
  <c r="C72" i="1" s="1"/>
  <c r="D56" i="1"/>
  <c r="D68" i="1" s="1"/>
  <c r="D72" i="1" s="1"/>
  <c r="N63" i="1"/>
  <c r="W108" i="1"/>
  <c r="W116" i="1" s="1"/>
  <c r="X101" i="1"/>
  <c r="X113" i="1" s="1"/>
  <c r="X117" i="1" s="1"/>
  <c r="C101" i="1"/>
  <c r="C113" i="1" s="1"/>
  <c r="C117" i="1" s="1"/>
  <c r="E101" i="1"/>
  <c r="E108" i="1" s="1"/>
  <c r="E116" i="1" s="1"/>
  <c r="Z101" i="1"/>
  <c r="Z113" i="1" s="1"/>
  <c r="Z117" i="1" s="1"/>
  <c r="F101" i="1"/>
  <c r="F108" i="1" s="1"/>
  <c r="F116" i="1" s="1"/>
  <c r="K56" i="1"/>
  <c r="K68" i="1" s="1"/>
  <c r="AA101" i="1"/>
  <c r="AA108" i="1" s="1"/>
  <c r="AA116" i="1" s="1"/>
  <c r="G101" i="1"/>
  <c r="G113" i="1" s="1"/>
  <c r="G117" i="1" s="1"/>
  <c r="AB101" i="1"/>
  <c r="AB113" i="1" s="1"/>
  <c r="AB117" i="1" s="1"/>
  <c r="M68" i="1"/>
  <c r="M63" i="1"/>
  <c r="Z108" i="1"/>
  <c r="Z116" i="1" s="1"/>
  <c r="V68" i="1"/>
  <c r="V63" i="1"/>
  <c r="V71" i="1" s="1"/>
  <c r="C108" i="1"/>
  <c r="C116" i="1" s="1"/>
  <c r="Y63" i="1"/>
  <c r="Y71" i="1" s="1"/>
  <c r="L68" i="1"/>
  <c r="L63" i="1"/>
  <c r="F68" i="1"/>
  <c r="F63" i="1"/>
  <c r="J68" i="1"/>
  <c r="J63" i="1"/>
  <c r="AD68" i="1"/>
  <c r="AD72" i="1" s="1"/>
  <c r="X68" i="1"/>
  <c r="X72" i="1" s="1"/>
  <c r="X63" i="1"/>
  <c r="R116" i="1"/>
  <c r="AD63" i="1"/>
  <c r="E68" i="1"/>
  <c r="E63" i="1"/>
  <c r="G68" i="1"/>
  <c r="G72" i="1" s="1"/>
  <c r="G63" i="1"/>
  <c r="W68" i="1"/>
  <c r="W63" i="1"/>
  <c r="I101" i="1"/>
  <c r="AD101" i="1"/>
  <c r="O72" i="1"/>
  <c r="P68" i="1"/>
  <c r="P72" i="1" s="1"/>
  <c r="P63" i="1"/>
  <c r="P71" i="1" s="1"/>
  <c r="U68" i="1"/>
  <c r="U72" i="1" s="1"/>
  <c r="U63" i="1"/>
  <c r="R108" i="1"/>
  <c r="R113" i="1"/>
  <c r="R117" i="1" s="1"/>
  <c r="H68" i="1"/>
  <c r="H63" i="1"/>
  <c r="O63" i="1"/>
  <c r="S108" i="1"/>
  <c r="S116" i="1" s="1"/>
  <c r="S113" i="1"/>
  <c r="S117" i="1" s="1"/>
  <c r="D108" i="1"/>
  <c r="D116" i="1" s="1"/>
  <c r="D113" i="1"/>
  <c r="D117" i="1" s="1"/>
  <c r="Y108" i="1"/>
  <c r="Y116" i="1" s="1"/>
  <c r="Y113" i="1"/>
  <c r="Y117" i="1" s="1"/>
  <c r="J113" i="1"/>
  <c r="J117" i="1" s="1"/>
  <c r="J108" i="1"/>
  <c r="J116" i="1" s="1"/>
  <c r="T113" i="1"/>
  <c r="T117" i="1" s="1"/>
  <c r="X108" i="1" l="1"/>
  <c r="X116" i="1" s="1"/>
  <c r="I63" i="1"/>
  <c r="AE113" i="1"/>
  <c r="AE117" i="1" s="1"/>
  <c r="I72" i="1"/>
  <c r="W71" i="1"/>
  <c r="K72" i="1"/>
  <c r="S72" i="1"/>
  <c r="W72" i="1"/>
  <c r="L71" i="1"/>
  <c r="L73" i="1" s="1"/>
  <c r="L75" i="1" s="1"/>
  <c r="R72" i="1"/>
  <c r="L72" i="1"/>
  <c r="AC68" i="1"/>
  <c r="AC72" i="1" s="1"/>
  <c r="T68" i="1"/>
  <c r="T72" i="1" s="1"/>
  <c r="AB68" i="1"/>
  <c r="AB72" i="1" s="1"/>
  <c r="Z68" i="1"/>
  <c r="AE68" i="1"/>
  <c r="AE72" i="1" s="1"/>
  <c r="U113" i="1"/>
  <c r="U117" i="1" s="1"/>
  <c r="U118" i="1" s="1"/>
  <c r="U120" i="1" s="1"/>
  <c r="U121" i="1" s="1"/>
  <c r="S63" i="1"/>
  <c r="S71" i="1" s="1"/>
  <c r="D63" i="1"/>
  <c r="D71" i="1" s="1"/>
  <c r="D73" i="1" s="1"/>
  <c r="D76" i="1" s="1"/>
  <c r="V113" i="1"/>
  <c r="V117" i="1" s="1"/>
  <c r="V118" i="1" s="1"/>
  <c r="V120" i="1" s="1"/>
  <c r="V121" i="1" s="1"/>
  <c r="AC108" i="1"/>
  <c r="AC116" i="1" s="1"/>
  <c r="AC118" i="1" s="1"/>
  <c r="AC120" i="1" s="1"/>
  <c r="AA63" i="1"/>
  <c r="AA71" i="1" s="1"/>
  <c r="H108" i="1"/>
  <c r="H116" i="1" s="1"/>
  <c r="H118" i="1" s="1"/>
  <c r="H120" i="1" s="1"/>
  <c r="U71" i="1"/>
  <c r="U73" i="1" s="1"/>
  <c r="U75" i="1" s="1"/>
  <c r="U76" i="1" s="1"/>
  <c r="M71" i="1"/>
  <c r="AA72" i="1"/>
  <c r="G71" i="1"/>
  <c r="G73" i="1" s="1"/>
  <c r="G75" i="1" s="1"/>
  <c r="V72" i="1"/>
  <c r="V73" i="1" s="1"/>
  <c r="V75" i="1" s="1"/>
  <c r="V76" i="1" s="1"/>
  <c r="O71" i="1"/>
  <c r="O73" i="1" s="1"/>
  <c r="O75" i="1" s="1"/>
  <c r="AB71" i="1"/>
  <c r="H71" i="1"/>
  <c r="J71" i="1"/>
  <c r="H72" i="1"/>
  <c r="J72" i="1"/>
  <c r="I71" i="1"/>
  <c r="I73" i="1" s="1"/>
  <c r="I75" i="1" s="1"/>
  <c r="F71" i="1"/>
  <c r="M72" i="1"/>
  <c r="G108" i="1"/>
  <c r="G116" i="1" s="1"/>
  <c r="G118" i="1" s="1"/>
  <c r="G120" i="1" s="1"/>
  <c r="AC71" i="1"/>
  <c r="N71" i="1"/>
  <c r="C63" i="1"/>
  <c r="C71" i="1" s="1"/>
  <c r="C73" i="1" s="1"/>
  <c r="T71" i="1"/>
  <c r="F72" i="1"/>
  <c r="R63" i="1"/>
  <c r="R71" i="1" s="1"/>
  <c r="AD71" i="1"/>
  <c r="AD73" i="1" s="1"/>
  <c r="AD75" i="1" s="1"/>
  <c r="AE71" i="1"/>
  <c r="E71" i="1"/>
  <c r="Z72" i="1"/>
  <c r="Z73" i="1" s="1"/>
  <c r="Z75" i="1" s="1"/>
  <c r="N72" i="1"/>
  <c r="E72" i="1"/>
  <c r="X71" i="1"/>
  <c r="X73" i="1" s="1"/>
  <c r="X75" i="1" s="1"/>
  <c r="AB108" i="1"/>
  <c r="AB116" i="1" s="1"/>
  <c r="AB118" i="1" s="1"/>
  <c r="AB120" i="1" s="1"/>
  <c r="AA113" i="1"/>
  <c r="AA117" i="1" s="1"/>
  <c r="AA118" i="1" s="1"/>
  <c r="AA120" i="1" s="1"/>
  <c r="F113" i="1"/>
  <c r="F117" i="1" s="1"/>
  <c r="F118" i="1" s="1"/>
  <c r="E113" i="1"/>
  <c r="E117" i="1" s="1"/>
  <c r="E118" i="1" s="1"/>
  <c r="P73" i="1"/>
  <c r="P75" i="1" s="1"/>
  <c r="K63" i="1"/>
  <c r="K71" i="1" s="1"/>
  <c r="T118" i="1"/>
  <c r="T120" i="1" s="1"/>
  <c r="T121" i="1" s="1"/>
  <c r="R118" i="1"/>
  <c r="R120" i="1" s="1"/>
  <c r="R121" i="1" s="1"/>
  <c r="C118" i="1"/>
  <c r="C121" i="1" s="1"/>
  <c r="S118" i="1"/>
  <c r="S120" i="1" s="1"/>
  <c r="S121" i="1" s="1"/>
  <c r="X118" i="1"/>
  <c r="X120" i="1" s="1"/>
  <c r="Y73" i="1"/>
  <c r="Y75" i="1" s="1"/>
  <c r="Y118" i="1"/>
  <c r="Y120" i="1" s="1"/>
  <c r="Z118" i="1"/>
  <c r="Z120" i="1" s="1"/>
  <c r="AE118" i="1"/>
  <c r="AE120" i="1" s="1"/>
  <c r="J118" i="1"/>
  <c r="J120" i="1" s="1"/>
  <c r="D118" i="1"/>
  <c r="I113" i="1"/>
  <c r="I117" i="1" s="1"/>
  <c r="I108" i="1"/>
  <c r="I116" i="1" s="1"/>
  <c r="AD113" i="1"/>
  <c r="AD117" i="1" s="1"/>
  <c r="AD108" i="1"/>
  <c r="AD116" i="1" s="1"/>
  <c r="W118" i="1"/>
  <c r="W120" i="1" s="1"/>
  <c r="W121" i="1" s="1"/>
  <c r="K73" i="1" l="1"/>
  <c r="K75" i="1" s="1"/>
  <c r="AC73" i="1"/>
  <c r="AC75" i="1" s="1"/>
  <c r="AE73" i="1"/>
  <c r="AE75" i="1" s="1"/>
  <c r="W73" i="1"/>
  <c r="W75" i="1" s="1"/>
  <c r="W76" i="1" s="1"/>
  <c r="R73" i="1"/>
  <c r="R75" i="1" s="1"/>
  <c r="R76" i="1" s="1"/>
  <c r="S73" i="1"/>
  <c r="S75" i="1" s="1"/>
  <c r="S76" i="1" s="1"/>
  <c r="H73" i="1"/>
  <c r="H75" i="1" s="1"/>
  <c r="T73" i="1"/>
  <c r="T75" i="1" s="1"/>
  <c r="T76" i="1" s="1"/>
  <c r="C80" i="1" s="1"/>
  <c r="M73" i="1"/>
  <c r="M75" i="1" s="1"/>
  <c r="AA73" i="1"/>
  <c r="AA75" i="1" s="1"/>
  <c r="J73" i="1"/>
  <c r="J75" i="1" s="1"/>
  <c r="N73" i="1"/>
  <c r="N75" i="1" s="1"/>
  <c r="AB73" i="1"/>
  <c r="AB75" i="1" s="1"/>
  <c r="F73" i="1"/>
  <c r="F75" i="1" s="1"/>
  <c r="E73" i="1"/>
  <c r="E76" i="1" s="1"/>
  <c r="C120" i="1"/>
  <c r="AD118" i="1"/>
  <c r="AD120" i="1" s="1"/>
  <c r="C130" i="1" s="1"/>
  <c r="D75" i="1"/>
  <c r="I118" i="1"/>
  <c r="I120" i="1" s="1"/>
  <c r="D121" i="1"/>
  <c r="D120" i="1"/>
  <c r="C125" i="1"/>
  <c r="C75" i="1"/>
  <c r="C76" i="1"/>
  <c r="F120" i="1"/>
  <c r="F121" i="1"/>
  <c r="C129" i="1"/>
  <c r="E120" i="1"/>
  <c r="E121" i="1"/>
  <c r="K76" i="1" l="1"/>
  <c r="F76" i="1"/>
  <c r="C85" i="1"/>
  <c r="C84" i="1"/>
  <c r="E75" i="1"/>
  <c r="C83" i="1" s="1"/>
  <c r="K121" i="1"/>
  <c r="C124" i="1" s="1"/>
  <c r="C128" i="1"/>
  <c r="C79" i="1" l="1"/>
</calcChain>
</file>

<file path=xl/sharedStrings.xml><?xml version="1.0" encoding="utf-8"?>
<sst xmlns="http://schemas.openxmlformats.org/spreadsheetml/2006/main" count="267" uniqueCount="101">
  <si>
    <t/>
  </si>
  <si>
    <t>Slab Height (mm)</t>
  </si>
  <si>
    <t>← floor to soffit</t>
  </si>
  <si>
    <t>Slab Thickness (mm)</t>
  </si>
  <si>
    <t>← slab thickness (input)</t>
  </si>
  <si>
    <t>Jack Type</t>
  </si>
  <si>
    <t>Hollow</t>
  </si>
  <si>
    <t>← Hollow (tubular) or Solid stem</t>
  </si>
  <si>
    <t>Design Thickness (mm)</t>
  </si>
  <si>
    <t>Frame Heights</t>
  </si>
  <si>
    <t>ft</t>
  </si>
  <si>
    <t>mm</t>
  </si>
  <si>
    <t>3ft Frame</t>
  </si>
  <si>
    <t>4ft Frame</t>
  </si>
  <si>
    <t>5ft Frame</t>
  </si>
  <si>
    <t>6ft Frame</t>
  </si>
  <si>
    <t>7ft Frame</t>
  </si>
  <si>
    <t>Rocket Extensions - HOLLOW JACKS ONLY</t>
  </si>
  <si>
    <t>300mm Rocket</t>
  </si>
  <si>
    <t>500mm Rocket</t>
  </si>
  <si>
    <t>Jack Adjustment Ranges (mm)</t>
  </si>
  <si>
    <t>Min</t>
  </si>
  <si>
    <t>Max Thin Hollow</t>
  </si>
  <si>
    <t>Max Thin Solid</t>
  </si>
  <si>
    <t>Max Thick Hollow</t>
  </si>
  <si>
    <t>Max Thick Solid</t>
  </si>
  <si>
    <t>U-Head - Singles</t>
  </si>
  <si>
    <t>Base (Flat Jack) - Singles</t>
  </si>
  <si>
    <t>U-Head - Doubles</t>
  </si>
  <si>
    <t>Base - Doubles</t>
  </si>
  <si>
    <t>U-Head - Triples</t>
  </si>
  <si>
    <t>Base - Triples</t>
  </si>
  <si>
    <t>Prop Inner No 1 (thin only - TWE design required)</t>
  </si>
  <si>
    <t>Fixed Formwork</t>
  </si>
  <si>
    <t>Joists</t>
  </si>
  <si>
    <t>Bearer</t>
  </si>
  <si>
    <t>Ply</t>
  </si>
  <si>
    <t>Thin: thickness below</t>
  </si>
  <si>
    <t>Thick: 221 up to max</t>
  </si>
  <si>
    <t>Max design thickness</t>
  </si>
  <si>
    <t>Effective Height (thin)</t>
  </si>
  <si>
    <t>Effective Height (thick)</t>
  </si>
  <si>
    <t>Configuration</t>
  </si>
  <si>
    <t>3ft</t>
  </si>
  <si>
    <t>4ft</t>
  </si>
  <si>
    <t>5ft</t>
  </si>
  <si>
    <t>6ft</t>
  </si>
  <si>
    <t>6ft Prop Inner</t>
  </si>
  <si>
    <t>6ft 300 Extension Prop Inner</t>
  </si>
  <si>
    <t>6ft 500 Extension</t>
  </si>
  <si>
    <t>6ft 500 Extension Prop Inner</t>
  </si>
  <si>
    <t>7ft</t>
  </si>
  <si>
    <t>7ft Prop Inner</t>
  </si>
  <si>
    <t>7ft 300 Extension</t>
  </si>
  <si>
    <t>7ft 300 Extension Prop Inner</t>
  </si>
  <si>
    <t>7ft 500 Extension</t>
  </si>
  <si>
    <t>7ft 500 Extension Prop Inner</t>
  </si>
  <si>
    <t>Double: 4ft + 6ft</t>
  </si>
  <si>
    <t>Double: 5ft + 6ft</t>
  </si>
  <si>
    <t>Double: 5ft + 7ft</t>
  </si>
  <si>
    <t>Double: 6ft + 6ft</t>
  </si>
  <si>
    <t>Double: 6ft + 7ft</t>
  </si>
  <si>
    <t>Double: 7ft + 7ft</t>
  </si>
  <si>
    <t>Triple: 3ft + 3ft + 3ft</t>
  </si>
  <si>
    <t>Triple: 3ft + 3ft + 4ft</t>
  </si>
  <si>
    <t>Triple: 3ft + 5ft + 5ft</t>
  </si>
  <si>
    <t>Triple: 4ft + 5ft + 5ft</t>
  </si>
  <si>
    <t>Triple: 5ft + 5ft + 5ft</t>
  </si>
  <si>
    <t>Triple: 5ft + 5ft + 6ft</t>
  </si>
  <si>
    <t>Triple: 5ft + 6ft + 6ft</t>
  </si>
  <si>
    <t>Triple: 6ft + 6ft + 6ft</t>
  </si>
  <si>
    <t>Base Type</t>
  </si>
  <si>
    <t>Flat Jack</t>
  </si>
  <si>
    <t>Prop Inner No 1</t>
  </si>
  <si>
    <t>Frame 1 (ft)</t>
  </si>
  <si>
    <t>Frame 2 (ft)</t>
  </si>
  <si>
    <t>Frame 3 (ft)</t>
  </si>
  <si>
    <t>Rocket (mm)</t>
  </si>
  <si>
    <t>Frame 1 (mm)</t>
  </si>
  <si>
    <t>Frame 2 (mm)</t>
  </si>
  <si>
    <t>Frame 3 (mm)</t>
  </si>
  <si>
    <t>Frames Total (mm)</t>
  </si>
  <si>
    <t>Joists (mm)</t>
  </si>
  <si>
    <t>Bearer (mm)</t>
  </si>
  <si>
    <t>Ply (mm)</t>
  </si>
  <si>
    <t>U-Head Min (mm)</t>
  </si>
  <si>
    <t>Base Min (mm)</t>
  </si>
  <si>
    <t>Min Height (mm)</t>
  </si>
  <si>
    <t>U-Head Max (mm)</t>
  </si>
  <si>
    <t>Base Max (mm)</t>
  </si>
  <si>
    <t>Max Height (mm)</t>
  </si>
  <si>
    <t>Available (jack type)</t>
  </si>
  <si>
    <t>Height &gt;= Min</t>
  </si>
  <si>
    <t>Height &lt;= Max</t>
  </si>
  <si>
    <t>Valid</t>
  </si>
  <si>
    <t>Return</t>
  </si>
  <si>
    <t>Optimal (per group)</t>
  </si>
  <si>
    <t>Singles:</t>
  </si>
  <si>
    <t>Doubles:</t>
  </si>
  <si>
    <t>Triples:</t>
  </si>
  <si>
    <t>never optimal - engineering required (see ALL VALID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</si>
</sst>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sz val="10"/>
      <color rgb="FF0000FF"/>
      <name val="Arial"/>
    </font>
    <font>
      <b/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4"/>
  <sheetViews>
    <sheetView tabSelected="1" workbookViewId="0"/>
  </sheetViews>
  <sheetFormatPr defaultRowHeight="15" x14ac:dyDescent="0.2"/>
  <cols>
    <col min="2" max="2" width="42" customWidth="1"/>
    <col min="3" max="31" width="13" customWidth="1"/>
  </cols>
  <sheetData>
    <row r="1" spans="1:5" ht="12.75" x14ac:dyDescent="0.2">
      <c r="A1" t="s">
        <v>0</v>
      </c>
      <c r="B1" t="s">
        <v>0</v>
      </c>
    </row>
    <row r="3" spans="1:5" ht="12.75" x14ac:dyDescent="0.2">
      <c r="B3" t="s">
        <v>1</v>
      </c>
      <c r="C3" s="2">
        <v>3150</v>
      </c>
      <c r="D3" t="s">
        <v>2</v>
      </c>
    </row>
    <row r="4" spans="1:5" ht="12.75" x14ac:dyDescent="0.2">
      <c r="B4" t="s">
        <v>3</v>
      </c>
      <c r="C4" s="2">
        <v>200</v>
      </c>
      <c r="D4" t="s">
        <v>4</v>
      </c>
    </row>
    <row r="5" spans="1:5" ht="12.75" x14ac:dyDescent="0.2">
      <c r="B5" t="s">
        <v>5</v>
      </c>
      <c r="C5" s="2" t="s">
        <v>6</v>
      </c>
      <c r="D5" t="s">
        <v>7</v>
      </c>
    </row>
    <row r="6" spans="1:5" ht="12.75" x14ac:dyDescent="0.2">
      <c r="B6" t="s">
        <v>8</v>
      </c>
      <c r="C6">
        <f>MIN(C4,$E$37)</f>
        <v>200</v>
      </c>
      <c r="D6" s="3" t="str">
        <f>IF(C4&gt;$E$37,"! Slabs thicker than 450 mm must be checked by a Temporary Works Engineer - tool uses 450 mm","")</f>
        <v/>
      </c>
    </row>
    <row r="8" spans="1:5" ht="12.75" x14ac:dyDescent="0.2">
      <c r="A8" t="s">
        <v>0</v>
      </c>
      <c r="B8" t="s">
        <v>0</v>
      </c>
    </row>
    <row r="9" spans="1:5" ht="12.75" x14ac:dyDescent="0.2">
      <c r="B9" s="1" t="s">
        <v>9</v>
      </c>
      <c r="D9" t="s">
        <v>10</v>
      </c>
      <c r="E9" t="s">
        <v>11</v>
      </c>
    </row>
    <row r="10" spans="1:5" ht="12.75" x14ac:dyDescent="0.2">
      <c r="B10" t="s">
        <v>12</v>
      </c>
      <c r="D10">
        <v>3</v>
      </c>
      <c r="E10">
        <v>915</v>
      </c>
    </row>
    <row r="11" spans="1:5" ht="12.75" x14ac:dyDescent="0.2">
      <c r="B11" t="s">
        <v>13</v>
      </c>
      <c r="D11">
        <v>4</v>
      </c>
      <c r="E11">
        <v>1219</v>
      </c>
    </row>
    <row r="12" spans="1:5" ht="12.75" x14ac:dyDescent="0.2">
      <c r="B12" t="s">
        <v>14</v>
      </c>
      <c r="D12">
        <v>5</v>
      </c>
      <c r="E12">
        <v>1523</v>
      </c>
    </row>
    <row r="13" spans="1:5" ht="12.75" x14ac:dyDescent="0.2">
      <c r="B13" t="s">
        <v>15</v>
      </c>
      <c r="D13">
        <v>6</v>
      </c>
      <c r="E13">
        <v>1830</v>
      </c>
    </row>
    <row r="14" spans="1:5" ht="12.75" x14ac:dyDescent="0.2">
      <c r="B14" t="s">
        <v>16</v>
      </c>
      <c r="D14">
        <v>7</v>
      </c>
      <c r="E14">
        <v>2134</v>
      </c>
    </row>
    <row r="16" spans="1:5" ht="12.75" x14ac:dyDescent="0.2">
      <c r="B16" s="1" t="s">
        <v>17</v>
      </c>
      <c r="D16" t="s">
        <v>11</v>
      </c>
    </row>
    <row r="17" spans="2:8" ht="12.75" x14ac:dyDescent="0.2">
      <c r="B17" t="s">
        <v>18</v>
      </c>
      <c r="D17">
        <v>300</v>
      </c>
    </row>
    <row r="18" spans="2:8" ht="12.75" x14ac:dyDescent="0.2">
      <c r="B18" t="s">
        <v>19</v>
      </c>
      <c r="D18">
        <v>500</v>
      </c>
    </row>
    <row r="20" spans="2:8" ht="12.75" x14ac:dyDescent="0.2">
      <c r="B20" s="1" t="s">
        <v>20</v>
      </c>
      <c r="D20" s="1" t="s">
        <v>21</v>
      </c>
      <c r="E20" s="1" t="s">
        <v>22</v>
      </c>
      <c r="F20" s="1" t="s">
        <v>23</v>
      </c>
      <c r="G20" s="1" t="s">
        <v>24</v>
      </c>
      <c r="H20" s="1" t="s">
        <v>25</v>
      </c>
    </row>
    <row r="21" spans="2:8" ht="12.75" x14ac:dyDescent="0.2">
      <c r="B21" t="s">
        <v>26</v>
      </c>
      <c r="D21">
        <v>100</v>
      </c>
      <c r="E21">
        <v>600</v>
      </c>
      <c r="F21">
        <v>450</v>
      </c>
      <c r="G21">
        <v>450</v>
      </c>
      <c r="H21">
        <v>300</v>
      </c>
    </row>
    <row r="22" spans="2:8" ht="12.75" x14ac:dyDescent="0.2">
      <c r="B22" t="s">
        <v>27</v>
      </c>
      <c r="D22">
        <v>50</v>
      </c>
      <c r="E22">
        <v>600</v>
      </c>
      <c r="F22">
        <v>450</v>
      </c>
      <c r="G22">
        <v>300</v>
      </c>
      <c r="H22">
        <v>300</v>
      </c>
    </row>
    <row r="23" spans="2:8" ht="12.75" x14ac:dyDescent="0.2">
      <c r="B23" t="s">
        <v>28</v>
      </c>
      <c r="D23">
        <v>100</v>
      </c>
      <c r="E23">
        <v>600</v>
      </c>
      <c r="F23">
        <v>450</v>
      </c>
      <c r="G23">
        <v>300</v>
      </c>
      <c r="H23">
        <v>300</v>
      </c>
    </row>
    <row r="24" spans="2:8" ht="12.75" x14ac:dyDescent="0.2">
      <c r="B24" t="s">
        <v>29</v>
      </c>
      <c r="D24">
        <v>50</v>
      </c>
      <c r="E24">
        <v>600</v>
      </c>
      <c r="F24">
        <v>450</v>
      </c>
      <c r="G24">
        <v>300</v>
      </c>
      <c r="H24">
        <v>300</v>
      </c>
    </row>
    <row r="25" spans="2:8" ht="12.75" x14ac:dyDescent="0.2">
      <c r="B25" t="s">
        <v>30</v>
      </c>
      <c r="D25">
        <v>100</v>
      </c>
      <c r="E25">
        <v>500</v>
      </c>
      <c r="F25">
        <v>450</v>
      </c>
      <c r="G25">
        <v>300</v>
      </c>
      <c r="H25">
        <v>300</v>
      </c>
    </row>
    <row r="26" spans="2:8" ht="12.75" x14ac:dyDescent="0.2">
      <c r="B26" t="s">
        <v>31</v>
      </c>
      <c r="D26">
        <v>50</v>
      </c>
      <c r="E26">
        <v>500</v>
      </c>
      <c r="F26">
        <v>450</v>
      </c>
      <c r="G26">
        <v>300</v>
      </c>
      <c r="H26">
        <v>300</v>
      </c>
    </row>
    <row r="27" spans="2:8" ht="12.75" x14ac:dyDescent="0.2">
      <c r="B27" t="s">
        <v>32</v>
      </c>
      <c r="D27">
        <v>300</v>
      </c>
      <c r="E27">
        <v>1050</v>
      </c>
    </row>
    <row r="29" spans="2:8" ht="12.75" x14ac:dyDescent="0.2">
      <c r="B29" s="1" t="s">
        <v>33</v>
      </c>
      <c r="E29" t="s">
        <v>11</v>
      </c>
    </row>
    <row r="30" spans="2:8" ht="12.75" x14ac:dyDescent="0.2">
      <c r="B30" t="s">
        <v>34</v>
      </c>
      <c r="E30">
        <v>100</v>
      </c>
    </row>
    <row r="31" spans="2:8" ht="12.75" x14ac:dyDescent="0.2">
      <c r="B31" t="s">
        <v>35</v>
      </c>
      <c r="E31">
        <v>150</v>
      </c>
    </row>
    <row r="32" spans="2:8" ht="12.75" x14ac:dyDescent="0.2">
      <c r="B32" t="s">
        <v>36</v>
      </c>
      <c r="E32">
        <v>17</v>
      </c>
    </row>
    <row r="34" spans="1:31" ht="12.75" x14ac:dyDescent="0.2">
      <c r="A34" t="s">
        <v>0</v>
      </c>
      <c r="B34" t="s">
        <v>0</v>
      </c>
    </row>
    <row r="35" spans="1:31" ht="12.75" x14ac:dyDescent="0.2">
      <c r="B35" t="s">
        <v>37</v>
      </c>
      <c r="E35">
        <v>221</v>
      </c>
    </row>
    <row r="36" spans="1:31" ht="12.75" x14ac:dyDescent="0.2">
      <c r="B36" t="s">
        <v>38</v>
      </c>
      <c r="E36">
        <v>450</v>
      </c>
    </row>
    <row r="37" spans="1:31" ht="12.75" x14ac:dyDescent="0.2">
      <c r="B37" t="s">
        <v>39</v>
      </c>
      <c r="E37">
        <v>450</v>
      </c>
    </row>
    <row r="39" spans="1:31" ht="12.75" x14ac:dyDescent="0.2">
      <c r="B39" t="s">
        <v>40</v>
      </c>
      <c r="C39">
        <f>IF($C$6&lt;$E$35,$C$3,0)</f>
        <v>3150</v>
      </c>
    </row>
    <row r="40" spans="1:31" ht="12.75" x14ac:dyDescent="0.2">
      <c r="B40" t="s">
        <v>41</v>
      </c>
      <c r="C40">
        <f>IF($C$6&gt;=$E$35,$C$3,0)</f>
        <v>0</v>
      </c>
    </row>
    <row r="43" spans="1:31" ht="12.75" x14ac:dyDescent="0.2">
      <c r="A43" t="s">
        <v>0</v>
      </c>
      <c r="B43" t="s">
        <v>0</v>
      </c>
    </row>
    <row r="45" spans="1:31" ht="12.75" x14ac:dyDescent="0.2">
      <c r="B45" s="1" t="s">
        <v>42</v>
      </c>
      <c r="C45" t="s">
        <v>43</v>
      </c>
      <c r="D45" t="s">
        <v>44</v>
      </c>
      <c r="E45" t="s">
        <v>45</v>
      </c>
      <c r="F45" t="s">
        <v>46</v>
      </c>
      <c r="G45" t="s">
        <v>47</v>
      </c>
      <c r="H45" t="s">
        <v>48</v>
      </c>
      <c r="I45" t="s">
        <v>49</v>
      </c>
      <c r="J45" t="s">
        <v>50</v>
      </c>
      <c r="K45" t="s">
        <v>51</v>
      </c>
      <c r="L45" t="s">
        <v>52</v>
      </c>
      <c r="M45" t="s">
        <v>53</v>
      </c>
      <c r="N45" t="s">
        <v>54</v>
      </c>
      <c r="O45" t="s">
        <v>55</v>
      </c>
      <c r="P45" t="s">
        <v>56</v>
      </c>
      <c r="R45" t="s">
        <v>57</v>
      </c>
      <c r="S45" t="s">
        <v>58</v>
      </c>
      <c r="T45" t="s">
        <v>59</v>
      </c>
      <c r="U45" t="s">
        <v>60</v>
      </c>
      <c r="V45" t="s">
        <v>61</v>
      </c>
      <c r="W45" t="s">
        <v>62</v>
      </c>
      <c r="X45" t="s">
        <v>63</v>
      </c>
      <c r="Y45" t="s">
        <v>64</v>
      </c>
      <c r="Z45" t="s">
        <v>65</v>
      </c>
      <c r="AA45" t="s">
        <v>66</v>
      </c>
      <c r="AB45" t="s">
        <v>67</v>
      </c>
      <c r="AC45" t="s">
        <v>68</v>
      </c>
      <c r="AD45" t="s">
        <v>69</v>
      </c>
      <c r="AE45" t="s">
        <v>70</v>
      </c>
    </row>
    <row r="46" spans="1:31" ht="12.75" x14ac:dyDescent="0.2">
      <c r="B46" t="s">
        <v>71</v>
      </c>
      <c r="C46" t="s">
        <v>72</v>
      </c>
      <c r="D46" t="s">
        <v>72</v>
      </c>
      <c r="E46" t="s">
        <v>72</v>
      </c>
      <c r="F46" t="s">
        <v>72</v>
      </c>
      <c r="G46" t="s">
        <v>73</v>
      </c>
      <c r="H46" t="s">
        <v>73</v>
      </c>
      <c r="I46" t="s">
        <v>72</v>
      </c>
      <c r="J46" t="s">
        <v>73</v>
      </c>
      <c r="K46" t="s">
        <v>72</v>
      </c>
      <c r="L46" t="s">
        <v>73</v>
      </c>
      <c r="M46" t="s">
        <v>72</v>
      </c>
      <c r="N46" t="s">
        <v>73</v>
      </c>
      <c r="O46" t="s">
        <v>72</v>
      </c>
      <c r="P46" t="s">
        <v>73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72</v>
      </c>
      <c r="X46" t="s">
        <v>72</v>
      </c>
      <c r="Y46" t="s">
        <v>72</v>
      </c>
      <c r="Z46" t="s">
        <v>72</v>
      </c>
      <c r="AA46" t="s">
        <v>72</v>
      </c>
      <c r="AB46" t="s">
        <v>72</v>
      </c>
      <c r="AC46" t="s">
        <v>72</v>
      </c>
      <c r="AD46" t="s">
        <v>72</v>
      </c>
      <c r="AE46" t="s">
        <v>72</v>
      </c>
    </row>
    <row r="48" spans="1:31" ht="12.75" x14ac:dyDescent="0.2">
      <c r="B48" t="s">
        <v>74</v>
      </c>
      <c r="C48">
        <v>3</v>
      </c>
      <c r="D48">
        <v>4</v>
      </c>
      <c r="E48">
        <v>5</v>
      </c>
      <c r="F48">
        <v>6</v>
      </c>
      <c r="G48">
        <v>6</v>
      </c>
      <c r="H48">
        <v>6</v>
      </c>
      <c r="I48">
        <v>6</v>
      </c>
      <c r="J48">
        <v>6</v>
      </c>
      <c r="K48">
        <v>7</v>
      </c>
      <c r="L48">
        <v>7</v>
      </c>
      <c r="M48">
        <v>7</v>
      </c>
      <c r="N48">
        <v>7</v>
      </c>
      <c r="O48">
        <v>7</v>
      </c>
      <c r="P48">
        <v>7</v>
      </c>
      <c r="R48">
        <v>4</v>
      </c>
      <c r="S48">
        <v>5</v>
      </c>
      <c r="T48">
        <v>5</v>
      </c>
      <c r="U48">
        <v>6</v>
      </c>
      <c r="V48">
        <v>6</v>
      </c>
      <c r="W48">
        <v>7</v>
      </c>
      <c r="X48">
        <v>3</v>
      </c>
      <c r="Y48">
        <v>3</v>
      </c>
      <c r="Z48">
        <v>3</v>
      </c>
      <c r="AA48">
        <v>4</v>
      </c>
      <c r="AB48">
        <v>5</v>
      </c>
      <c r="AC48">
        <v>5</v>
      </c>
      <c r="AD48">
        <v>5</v>
      </c>
      <c r="AE48">
        <v>6</v>
      </c>
    </row>
    <row r="49" spans="2:31" ht="12.75" x14ac:dyDescent="0.2">
      <c r="B49" t="s">
        <v>75</v>
      </c>
      <c r="R49">
        <v>6</v>
      </c>
      <c r="S49">
        <v>6</v>
      </c>
      <c r="T49">
        <v>7</v>
      </c>
      <c r="U49">
        <v>6</v>
      </c>
      <c r="V49">
        <v>7</v>
      </c>
      <c r="W49">
        <v>7</v>
      </c>
      <c r="X49">
        <v>3</v>
      </c>
      <c r="Y49">
        <v>3</v>
      </c>
      <c r="Z49">
        <v>5</v>
      </c>
      <c r="AA49">
        <v>5</v>
      </c>
      <c r="AB49">
        <v>5</v>
      </c>
      <c r="AC49">
        <v>5</v>
      </c>
      <c r="AD49">
        <v>6</v>
      </c>
      <c r="AE49">
        <v>6</v>
      </c>
    </row>
    <row r="50" spans="2:31" ht="12.75" x14ac:dyDescent="0.2">
      <c r="B50" t="s">
        <v>76</v>
      </c>
      <c r="X50">
        <v>3</v>
      </c>
      <c r="Y50">
        <v>4</v>
      </c>
      <c r="Z50">
        <v>5</v>
      </c>
      <c r="AA50">
        <v>5</v>
      </c>
      <c r="AB50">
        <v>5</v>
      </c>
      <c r="AC50">
        <v>6</v>
      </c>
      <c r="AD50">
        <v>6</v>
      </c>
      <c r="AE50">
        <v>6</v>
      </c>
    </row>
    <row r="51" spans="2:31" ht="12.75" x14ac:dyDescent="0.2">
      <c r="B51" t="s">
        <v>77</v>
      </c>
      <c r="C51">
        <v>0</v>
      </c>
      <c r="D51">
        <v>0</v>
      </c>
      <c r="E51">
        <v>0</v>
      </c>
      <c r="F51">
        <v>0</v>
      </c>
      <c r="G51">
        <v>0</v>
      </c>
      <c r="H51">
        <v>300</v>
      </c>
      <c r="I51">
        <v>500</v>
      </c>
      <c r="J51">
        <v>500</v>
      </c>
      <c r="K51">
        <v>0</v>
      </c>
      <c r="L51">
        <v>0</v>
      </c>
      <c r="M51">
        <v>300</v>
      </c>
      <c r="N51">
        <v>300</v>
      </c>
      <c r="O51">
        <v>500</v>
      </c>
      <c r="P51">
        <v>500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3" spans="2:31" ht="12.75" x14ac:dyDescent="0.2">
      <c r="B53" t="s">
        <v>78</v>
      </c>
      <c r="C53">
        <f t="shared" ref="C53:P53" si="0">IFERROR(INDEX($E$10:$E$14,MATCH(C48,$D$10:$D$14,0)),0)</f>
        <v>915</v>
      </c>
      <c r="D53">
        <f t="shared" si="0"/>
        <v>1219</v>
      </c>
      <c r="E53">
        <f t="shared" si="0"/>
        <v>1523</v>
      </c>
      <c r="F53">
        <f t="shared" si="0"/>
        <v>1830</v>
      </c>
      <c r="G53">
        <f t="shared" si="0"/>
        <v>1830</v>
      </c>
      <c r="H53">
        <f t="shared" si="0"/>
        <v>1830</v>
      </c>
      <c r="I53">
        <f t="shared" si="0"/>
        <v>1830</v>
      </c>
      <c r="J53">
        <f t="shared" si="0"/>
        <v>1830</v>
      </c>
      <c r="K53">
        <f t="shared" si="0"/>
        <v>2134</v>
      </c>
      <c r="L53">
        <f t="shared" si="0"/>
        <v>2134</v>
      </c>
      <c r="M53">
        <f t="shared" si="0"/>
        <v>2134</v>
      </c>
      <c r="N53">
        <f t="shared" si="0"/>
        <v>2134</v>
      </c>
      <c r="O53">
        <f t="shared" si="0"/>
        <v>2134</v>
      </c>
      <c r="P53">
        <f t="shared" si="0"/>
        <v>2134</v>
      </c>
      <c r="R53">
        <f t="shared" ref="R53:AE53" si="1">IFERROR(INDEX($E$10:$E$14,MATCH(R48,$D$10:$D$14,0)),0)</f>
        <v>1219</v>
      </c>
      <c r="S53">
        <f t="shared" si="1"/>
        <v>1523</v>
      </c>
      <c r="T53">
        <f t="shared" si="1"/>
        <v>1523</v>
      </c>
      <c r="U53">
        <f t="shared" si="1"/>
        <v>1830</v>
      </c>
      <c r="V53">
        <f t="shared" si="1"/>
        <v>1830</v>
      </c>
      <c r="W53">
        <f t="shared" si="1"/>
        <v>2134</v>
      </c>
      <c r="X53">
        <f t="shared" si="1"/>
        <v>915</v>
      </c>
      <c r="Y53">
        <f t="shared" si="1"/>
        <v>915</v>
      </c>
      <c r="Z53">
        <f t="shared" si="1"/>
        <v>915</v>
      </c>
      <c r="AA53">
        <f t="shared" si="1"/>
        <v>1219</v>
      </c>
      <c r="AB53">
        <f t="shared" si="1"/>
        <v>1523</v>
      </c>
      <c r="AC53">
        <f t="shared" si="1"/>
        <v>1523</v>
      </c>
      <c r="AD53">
        <f t="shared" si="1"/>
        <v>1523</v>
      </c>
      <c r="AE53">
        <f t="shared" si="1"/>
        <v>1830</v>
      </c>
    </row>
    <row r="54" spans="2:31" ht="12.75" x14ac:dyDescent="0.2">
      <c r="B54" t="s">
        <v>79</v>
      </c>
      <c r="C54">
        <f t="shared" ref="C54:P54" si="2">IFERROR(INDEX($E$10:$E$14,MATCH(C49,$D$10:$D$14,0)),0)</f>
        <v>0</v>
      </c>
      <c r="D54">
        <f t="shared" si="2"/>
        <v>0</v>
      </c>
      <c r="E54">
        <f t="shared" si="2"/>
        <v>0</v>
      </c>
      <c r="F54">
        <f t="shared" si="2"/>
        <v>0</v>
      </c>
      <c r="G54">
        <f t="shared" si="2"/>
        <v>0</v>
      </c>
      <c r="H54">
        <f t="shared" si="2"/>
        <v>0</v>
      </c>
      <c r="I54">
        <f t="shared" si="2"/>
        <v>0</v>
      </c>
      <c r="J54">
        <f t="shared" si="2"/>
        <v>0</v>
      </c>
      <c r="K54">
        <f t="shared" si="2"/>
        <v>0</v>
      </c>
      <c r="L54">
        <f t="shared" si="2"/>
        <v>0</v>
      </c>
      <c r="M54">
        <f t="shared" si="2"/>
        <v>0</v>
      </c>
      <c r="N54">
        <f t="shared" si="2"/>
        <v>0</v>
      </c>
      <c r="O54">
        <f t="shared" si="2"/>
        <v>0</v>
      </c>
      <c r="P54">
        <f t="shared" si="2"/>
        <v>0</v>
      </c>
      <c r="R54">
        <f t="shared" ref="R54:AE54" si="3">IFERROR(INDEX($E$10:$E$14,MATCH(R49,$D$10:$D$14,0)),0)</f>
        <v>1830</v>
      </c>
      <c r="S54">
        <f t="shared" si="3"/>
        <v>1830</v>
      </c>
      <c r="T54">
        <f t="shared" si="3"/>
        <v>2134</v>
      </c>
      <c r="U54">
        <f t="shared" si="3"/>
        <v>1830</v>
      </c>
      <c r="V54">
        <f t="shared" si="3"/>
        <v>2134</v>
      </c>
      <c r="W54">
        <f t="shared" si="3"/>
        <v>2134</v>
      </c>
      <c r="X54">
        <f t="shared" si="3"/>
        <v>915</v>
      </c>
      <c r="Y54">
        <f t="shared" si="3"/>
        <v>915</v>
      </c>
      <c r="Z54">
        <f t="shared" si="3"/>
        <v>1523</v>
      </c>
      <c r="AA54">
        <f t="shared" si="3"/>
        <v>1523</v>
      </c>
      <c r="AB54">
        <f t="shared" si="3"/>
        <v>1523</v>
      </c>
      <c r="AC54">
        <f t="shared" si="3"/>
        <v>1523</v>
      </c>
      <c r="AD54">
        <f t="shared" si="3"/>
        <v>1830</v>
      </c>
      <c r="AE54">
        <f t="shared" si="3"/>
        <v>1830</v>
      </c>
    </row>
    <row r="55" spans="2:31" ht="12.75" x14ac:dyDescent="0.2">
      <c r="B55" t="s">
        <v>80</v>
      </c>
      <c r="C55">
        <f t="shared" ref="C55:P55" si="4">IFERROR(INDEX($E$10:$E$14,MATCH(C50,$D$10:$D$14,0)),0)</f>
        <v>0</v>
      </c>
      <c r="D55">
        <f t="shared" si="4"/>
        <v>0</v>
      </c>
      <c r="E55">
        <f t="shared" si="4"/>
        <v>0</v>
      </c>
      <c r="F55">
        <f t="shared" si="4"/>
        <v>0</v>
      </c>
      <c r="G55">
        <f t="shared" si="4"/>
        <v>0</v>
      </c>
      <c r="H55">
        <f t="shared" si="4"/>
        <v>0</v>
      </c>
      <c r="I55">
        <f t="shared" si="4"/>
        <v>0</v>
      </c>
      <c r="J55">
        <f t="shared" si="4"/>
        <v>0</v>
      </c>
      <c r="K55">
        <f t="shared" si="4"/>
        <v>0</v>
      </c>
      <c r="L55">
        <f t="shared" si="4"/>
        <v>0</v>
      </c>
      <c r="M55">
        <f t="shared" si="4"/>
        <v>0</v>
      </c>
      <c r="N55">
        <f t="shared" si="4"/>
        <v>0</v>
      </c>
      <c r="O55">
        <f t="shared" si="4"/>
        <v>0</v>
      </c>
      <c r="P55">
        <f t="shared" si="4"/>
        <v>0</v>
      </c>
      <c r="R55">
        <f t="shared" ref="R55:AE55" si="5">IFERROR(INDEX($E$10:$E$14,MATCH(R50,$D$10:$D$14,0)),0)</f>
        <v>0</v>
      </c>
      <c r="S55">
        <f t="shared" si="5"/>
        <v>0</v>
      </c>
      <c r="T55">
        <f t="shared" si="5"/>
        <v>0</v>
      </c>
      <c r="U55">
        <f t="shared" si="5"/>
        <v>0</v>
      </c>
      <c r="V55">
        <f t="shared" si="5"/>
        <v>0</v>
      </c>
      <c r="W55">
        <f t="shared" si="5"/>
        <v>0</v>
      </c>
      <c r="X55">
        <f t="shared" si="5"/>
        <v>915</v>
      </c>
      <c r="Y55">
        <f t="shared" si="5"/>
        <v>1219</v>
      </c>
      <c r="Z55">
        <f t="shared" si="5"/>
        <v>1523</v>
      </c>
      <c r="AA55">
        <f t="shared" si="5"/>
        <v>1523</v>
      </c>
      <c r="AB55">
        <f t="shared" si="5"/>
        <v>1523</v>
      </c>
      <c r="AC55">
        <f t="shared" si="5"/>
        <v>1830</v>
      </c>
      <c r="AD55">
        <f t="shared" si="5"/>
        <v>1830</v>
      </c>
      <c r="AE55">
        <f t="shared" si="5"/>
        <v>1830</v>
      </c>
    </row>
    <row r="56" spans="2:31" ht="12.75" x14ac:dyDescent="0.2">
      <c r="B56" t="s">
        <v>81</v>
      </c>
      <c r="C56">
        <f t="shared" ref="C56:P56" si="6">SUM(C53:C55)</f>
        <v>915</v>
      </c>
      <c r="D56">
        <f t="shared" si="6"/>
        <v>1219</v>
      </c>
      <c r="E56">
        <f t="shared" si="6"/>
        <v>1523</v>
      </c>
      <c r="F56">
        <f t="shared" si="6"/>
        <v>1830</v>
      </c>
      <c r="G56">
        <f t="shared" si="6"/>
        <v>1830</v>
      </c>
      <c r="H56">
        <f t="shared" si="6"/>
        <v>1830</v>
      </c>
      <c r="I56">
        <f t="shared" si="6"/>
        <v>1830</v>
      </c>
      <c r="J56">
        <f t="shared" si="6"/>
        <v>1830</v>
      </c>
      <c r="K56">
        <f t="shared" si="6"/>
        <v>2134</v>
      </c>
      <c r="L56">
        <f t="shared" si="6"/>
        <v>2134</v>
      </c>
      <c r="M56">
        <f t="shared" si="6"/>
        <v>2134</v>
      </c>
      <c r="N56">
        <f t="shared" si="6"/>
        <v>2134</v>
      </c>
      <c r="O56">
        <f t="shared" si="6"/>
        <v>2134</v>
      </c>
      <c r="P56">
        <f t="shared" si="6"/>
        <v>2134</v>
      </c>
      <c r="R56">
        <f t="shared" ref="R56:AE56" si="7">SUM(R53:R55)</f>
        <v>3049</v>
      </c>
      <c r="S56">
        <f t="shared" si="7"/>
        <v>3353</v>
      </c>
      <c r="T56">
        <f t="shared" si="7"/>
        <v>3657</v>
      </c>
      <c r="U56">
        <f t="shared" si="7"/>
        <v>3660</v>
      </c>
      <c r="V56">
        <f t="shared" si="7"/>
        <v>3964</v>
      </c>
      <c r="W56">
        <f t="shared" si="7"/>
        <v>4268</v>
      </c>
      <c r="X56">
        <f t="shared" si="7"/>
        <v>2745</v>
      </c>
      <c r="Y56">
        <f t="shared" si="7"/>
        <v>3049</v>
      </c>
      <c r="Z56">
        <f t="shared" si="7"/>
        <v>3961</v>
      </c>
      <c r="AA56">
        <f t="shared" si="7"/>
        <v>4265</v>
      </c>
      <c r="AB56">
        <f t="shared" si="7"/>
        <v>4569</v>
      </c>
      <c r="AC56">
        <f t="shared" si="7"/>
        <v>4876</v>
      </c>
      <c r="AD56">
        <f t="shared" si="7"/>
        <v>5183</v>
      </c>
      <c r="AE56">
        <f t="shared" si="7"/>
        <v>5490</v>
      </c>
    </row>
    <row r="57" spans="2:31" ht="12.75" x14ac:dyDescent="0.2">
      <c r="B57" t="s">
        <v>82</v>
      </c>
      <c r="C57">
        <f t="shared" ref="C57:P57" si="8">$E$30</f>
        <v>100</v>
      </c>
      <c r="D57">
        <f t="shared" si="8"/>
        <v>100</v>
      </c>
      <c r="E57">
        <f t="shared" si="8"/>
        <v>100</v>
      </c>
      <c r="F57">
        <f t="shared" si="8"/>
        <v>100</v>
      </c>
      <c r="G57">
        <f t="shared" si="8"/>
        <v>100</v>
      </c>
      <c r="H57">
        <f t="shared" si="8"/>
        <v>100</v>
      </c>
      <c r="I57">
        <f t="shared" si="8"/>
        <v>100</v>
      </c>
      <c r="J57">
        <f t="shared" si="8"/>
        <v>100</v>
      </c>
      <c r="K57">
        <f t="shared" si="8"/>
        <v>100</v>
      </c>
      <c r="L57">
        <f t="shared" si="8"/>
        <v>100</v>
      </c>
      <c r="M57">
        <f t="shared" si="8"/>
        <v>100</v>
      </c>
      <c r="N57">
        <f t="shared" si="8"/>
        <v>100</v>
      </c>
      <c r="O57">
        <f t="shared" si="8"/>
        <v>100</v>
      </c>
      <c r="P57">
        <f t="shared" si="8"/>
        <v>100</v>
      </c>
      <c r="R57">
        <f t="shared" ref="R57:AE57" si="9">$E$30</f>
        <v>100</v>
      </c>
      <c r="S57">
        <f t="shared" si="9"/>
        <v>100</v>
      </c>
      <c r="T57">
        <f t="shared" si="9"/>
        <v>100</v>
      </c>
      <c r="U57">
        <f t="shared" si="9"/>
        <v>100</v>
      </c>
      <c r="V57">
        <f t="shared" si="9"/>
        <v>100</v>
      </c>
      <c r="W57">
        <f t="shared" si="9"/>
        <v>100</v>
      </c>
      <c r="X57">
        <f t="shared" si="9"/>
        <v>100</v>
      </c>
      <c r="Y57">
        <f t="shared" si="9"/>
        <v>100</v>
      </c>
      <c r="Z57">
        <f t="shared" si="9"/>
        <v>100</v>
      </c>
      <c r="AA57">
        <f t="shared" si="9"/>
        <v>100</v>
      </c>
      <c r="AB57">
        <f t="shared" si="9"/>
        <v>100</v>
      </c>
      <c r="AC57">
        <f t="shared" si="9"/>
        <v>100</v>
      </c>
      <c r="AD57">
        <f t="shared" si="9"/>
        <v>100</v>
      </c>
      <c r="AE57">
        <f t="shared" si="9"/>
        <v>100</v>
      </c>
    </row>
    <row r="58" spans="2:31" ht="12.75" x14ac:dyDescent="0.2">
      <c r="B58" t="s">
        <v>83</v>
      </c>
      <c r="C58">
        <f t="shared" ref="C58:P58" si="10">$E$31</f>
        <v>150</v>
      </c>
      <c r="D58">
        <f t="shared" si="10"/>
        <v>150</v>
      </c>
      <c r="E58">
        <f t="shared" si="10"/>
        <v>150</v>
      </c>
      <c r="F58">
        <f t="shared" si="10"/>
        <v>150</v>
      </c>
      <c r="G58">
        <f t="shared" si="10"/>
        <v>150</v>
      </c>
      <c r="H58">
        <f t="shared" si="10"/>
        <v>150</v>
      </c>
      <c r="I58">
        <f t="shared" si="10"/>
        <v>150</v>
      </c>
      <c r="J58">
        <f t="shared" si="10"/>
        <v>150</v>
      </c>
      <c r="K58">
        <f t="shared" si="10"/>
        <v>150</v>
      </c>
      <c r="L58">
        <f t="shared" si="10"/>
        <v>150</v>
      </c>
      <c r="M58">
        <f t="shared" si="10"/>
        <v>150</v>
      </c>
      <c r="N58">
        <f t="shared" si="10"/>
        <v>150</v>
      </c>
      <c r="O58">
        <f t="shared" si="10"/>
        <v>150</v>
      </c>
      <c r="P58">
        <f t="shared" si="10"/>
        <v>150</v>
      </c>
      <c r="R58">
        <f t="shared" ref="R58:AE58" si="11">$E$31</f>
        <v>150</v>
      </c>
      <c r="S58">
        <f t="shared" si="11"/>
        <v>150</v>
      </c>
      <c r="T58">
        <f t="shared" si="11"/>
        <v>150</v>
      </c>
      <c r="U58">
        <f t="shared" si="11"/>
        <v>150</v>
      </c>
      <c r="V58">
        <f t="shared" si="11"/>
        <v>150</v>
      </c>
      <c r="W58">
        <f t="shared" si="11"/>
        <v>150</v>
      </c>
      <c r="X58">
        <f t="shared" si="11"/>
        <v>150</v>
      </c>
      <c r="Y58">
        <f t="shared" si="11"/>
        <v>150</v>
      </c>
      <c r="Z58">
        <f t="shared" si="11"/>
        <v>150</v>
      </c>
      <c r="AA58">
        <f t="shared" si="11"/>
        <v>150</v>
      </c>
      <c r="AB58">
        <f t="shared" si="11"/>
        <v>150</v>
      </c>
      <c r="AC58">
        <f t="shared" si="11"/>
        <v>150</v>
      </c>
      <c r="AD58">
        <f t="shared" si="11"/>
        <v>150</v>
      </c>
      <c r="AE58">
        <f t="shared" si="11"/>
        <v>150</v>
      </c>
    </row>
    <row r="59" spans="2:31" ht="12.75" x14ac:dyDescent="0.2">
      <c r="B59" t="s">
        <v>84</v>
      </c>
      <c r="C59">
        <f t="shared" ref="C59:P59" si="12">$E$32</f>
        <v>17</v>
      </c>
      <c r="D59">
        <f t="shared" si="12"/>
        <v>17</v>
      </c>
      <c r="E59">
        <f t="shared" si="12"/>
        <v>17</v>
      </c>
      <c r="F59">
        <f t="shared" si="12"/>
        <v>17</v>
      </c>
      <c r="G59">
        <f t="shared" si="12"/>
        <v>17</v>
      </c>
      <c r="H59">
        <f t="shared" si="12"/>
        <v>17</v>
      </c>
      <c r="I59">
        <f t="shared" si="12"/>
        <v>17</v>
      </c>
      <c r="J59">
        <f t="shared" si="12"/>
        <v>17</v>
      </c>
      <c r="K59">
        <f t="shared" si="12"/>
        <v>17</v>
      </c>
      <c r="L59">
        <f t="shared" si="12"/>
        <v>17</v>
      </c>
      <c r="M59">
        <f t="shared" si="12"/>
        <v>17</v>
      </c>
      <c r="N59">
        <f t="shared" si="12"/>
        <v>17</v>
      </c>
      <c r="O59">
        <f t="shared" si="12"/>
        <v>17</v>
      </c>
      <c r="P59">
        <f t="shared" si="12"/>
        <v>17</v>
      </c>
      <c r="R59">
        <f t="shared" ref="R59:AE59" si="13">$E$32</f>
        <v>17</v>
      </c>
      <c r="S59">
        <f t="shared" si="13"/>
        <v>17</v>
      </c>
      <c r="T59">
        <f t="shared" si="13"/>
        <v>17</v>
      </c>
      <c r="U59">
        <f t="shared" si="13"/>
        <v>17</v>
      </c>
      <c r="V59">
        <f t="shared" si="13"/>
        <v>17</v>
      </c>
      <c r="W59">
        <f t="shared" si="13"/>
        <v>17</v>
      </c>
      <c r="X59">
        <f t="shared" si="13"/>
        <v>17</v>
      </c>
      <c r="Y59">
        <f t="shared" si="13"/>
        <v>17</v>
      </c>
      <c r="Z59">
        <f t="shared" si="13"/>
        <v>17</v>
      </c>
      <c r="AA59">
        <f t="shared" si="13"/>
        <v>17</v>
      </c>
      <c r="AB59">
        <f t="shared" si="13"/>
        <v>17</v>
      </c>
      <c r="AC59">
        <f t="shared" si="13"/>
        <v>17</v>
      </c>
      <c r="AD59">
        <f t="shared" si="13"/>
        <v>17</v>
      </c>
      <c r="AE59">
        <f t="shared" si="13"/>
        <v>17</v>
      </c>
    </row>
    <row r="60" spans="2:31" ht="12.75" x14ac:dyDescent="0.2">
      <c r="B60" t="s">
        <v>85</v>
      </c>
      <c r="C60">
        <f t="shared" ref="C60:P60" si="14">$D$21</f>
        <v>100</v>
      </c>
      <c r="D60">
        <f t="shared" si="14"/>
        <v>100</v>
      </c>
      <c r="E60">
        <f t="shared" si="14"/>
        <v>100</v>
      </c>
      <c r="F60">
        <f t="shared" si="14"/>
        <v>100</v>
      </c>
      <c r="G60">
        <f t="shared" si="14"/>
        <v>100</v>
      </c>
      <c r="H60">
        <f t="shared" si="14"/>
        <v>100</v>
      </c>
      <c r="I60">
        <f t="shared" si="14"/>
        <v>100</v>
      </c>
      <c r="J60">
        <f t="shared" si="14"/>
        <v>100</v>
      </c>
      <c r="K60">
        <f t="shared" si="14"/>
        <v>100</v>
      </c>
      <c r="L60">
        <f t="shared" si="14"/>
        <v>100</v>
      </c>
      <c r="M60">
        <f t="shared" si="14"/>
        <v>100</v>
      </c>
      <c r="N60">
        <f t="shared" si="14"/>
        <v>100</v>
      </c>
      <c r="O60">
        <f t="shared" si="14"/>
        <v>100</v>
      </c>
      <c r="P60">
        <f t="shared" si="14"/>
        <v>100</v>
      </c>
      <c r="R60">
        <f t="shared" ref="R60:W60" si="15">$D$23</f>
        <v>100</v>
      </c>
      <c r="S60">
        <f t="shared" si="15"/>
        <v>100</v>
      </c>
      <c r="T60">
        <f t="shared" si="15"/>
        <v>100</v>
      </c>
      <c r="U60">
        <f t="shared" si="15"/>
        <v>100</v>
      </c>
      <c r="V60">
        <f t="shared" si="15"/>
        <v>100</v>
      </c>
      <c r="W60">
        <f t="shared" si="15"/>
        <v>100</v>
      </c>
      <c r="X60">
        <f t="shared" ref="X60:AE60" si="16">$D$25</f>
        <v>100</v>
      </c>
      <c r="Y60">
        <f t="shared" si="16"/>
        <v>100</v>
      </c>
      <c r="Z60">
        <f t="shared" si="16"/>
        <v>100</v>
      </c>
      <c r="AA60">
        <f t="shared" si="16"/>
        <v>100</v>
      </c>
      <c r="AB60">
        <f t="shared" si="16"/>
        <v>100</v>
      </c>
      <c r="AC60">
        <f t="shared" si="16"/>
        <v>100</v>
      </c>
      <c r="AD60">
        <f t="shared" si="16"/>
        <v>100</v>
      </c>
      <c r="AE60">
        <f t="shared" si="16"/>
        <v>100</v>
      </c>
    </row>
    <row r="61" spans="2:31" ht="12.75" x14ac:dyDescent="0.2">
      <c r="B61" t="s">
        <v>86</v>
      </c>
      <c r="C61">
        <f>$D$22</f>
        <v>50</v>
      </c>
      <c r="D61">
        <f>$D$22</f>
        <v>50</v>
      </c>
      <c r="E61">
        <f>$D$22</f>
        <v>50</v>
      </c>
      <c r="F61">
        <f>$D$22</f>
        <v>50</v>
      </c>
      <c r="G61">
        <f>$D$27</f>
        <v>300</v>
      </c>
      <c r="H61">
        <f>$D$27</f>
        <v>300</v>
      </c>
      <c r="I61">
        <f>$D$22</f>
        <v>50</v>
      </c>
      <c r="J61">
        <f>$D$27</f>
        <v>300</v>
      </c>
      <c r="K61">
        <f>$D$22</f>
        <v>50</v>
      </c>
      <c r="L61">
        <f>$D$27</f>
        <v>300</v>
      </c>
      <c r="M61">
        <f>$D$22</f>
        <v>50</v>
      </c>
      <c r="N61">
        <f>$D$27</f>
        <v>300</v>
      </c>
      <c r="O61">
        <f>$D$22</f>
        <v>50</v>
      </c>
      <c r="P61">
        <f>$D$27</f>
        <v>300</v>
      </c>
      <c r="R61">
        <f t="shared" ref="R61:W61" si="17">$D$24</f>
        <v>50</v>
      </c>
      <c r="S61">
        <f t="shared" si="17"/>
        <v>50</v>
      </c>
      <c r="T61">
        <f t="shared" si="17"/>
        <v>50</v>
      </c>
      <c r="U61">
        <f t="shared" si="17"/>
        <v>50</v>
      </c>
      <c r="V61">
        <f t="shared" si="17"/>
        <v>50</v>
      </c>
      <c r="W61">
        <f t="shared" si="17"/>
        <v>50</v>
      </c>
      <c r="X61">
        <f t="shared" ref="X61:AE61" si="18">$D$26</f>
        <v>50</v>
      </c>
      <c r="Y61">
        <f t="shared" si="18"/>
        <v>50</v>
      </c>
      <c r="Z61">
        <f t="shared" si="18"/>
        <v>50</v>
      </c>
      <c r="AA61">
        <f t="shared" si="18"/>
        <v>50</v>
      </c>
      <c r="AB61">
        <f t="shared" si="18"/>
        <v>50</v>
      </c>
      <c r="AC61">
        <f t="shared" si="18"/>
        <v>50</v>
      </c>
      <c r="AD61">
        <f t="shared" si="18"/>
        <v>50</v>
      </c>
      <c r="AE61">
        <f t="shared" si="18"/>
        <v>50</v>
      </c>
    </row>
    <row r="63" spans="2:31" ht="12.75" x14ac:dyDescent="0.2">
      <c r="B63" t="s">
        <v>87</v>
      </c>
      <c r="C63">
        <f t="shared" ref="C63:P63" si="19">C56+C51+C57+C58+C59+C60+C61</f>
        <v>1332</v>
      </c>
      <c r="D63">
        <f t="shared" si="19"/>
        <v>1636</v>
      </c>
      <c r="E63">
        <f t="shared" si="19"/>
        <v>1940</v>
      </c>
      <c r="F63">
        <f t="shared" si="19"/>
        <v>2247</v>
      </c>
      <c r="G63">
        <f t="shared" si="19"/>
        <v>2497</v>
      </c>
      <c r="H63">
        <f t="shared" si="19"/>
        <v>2797</v>
      </c>
      <c r="I63">
        <f t="shared" si="19"/>
        <v>2747</v>
      </c>
      <c r="J63">
        <f t="shared" si="19"/>
        <v>2997</v>
      </c>
      <c r="K63">
        <f t="shared" si="19"/>
        <v>2551</v>
      </c>
      <c r="L63">
        <f t="shared" si="19"/>
        <v>2801</v>
      </c>
      <c r="M63">
        <f t="shared" si="19"/>
        <v>2851</v>
      </c>
      <c r="N63">
        <f t="shared" si="19"/>
        <v>3101</v>
      </c>
      <c r="O63">
        <f t="shared" si="19"/>
        <v>3051</v>
      </c>
      <c r="P63">
        <f t="shared" si="19"/>
        <v>3301</v>
      </c>
      <c r="R63">
        <f t="shared" ref="R63:AE63" si="20">R56+R51+R57+R58+R59+R60+R61</f>
        <v>3466</v>
      </c>
      <c r="S63">
        <f t="shared" si="20"/>
        <v>3770</v>
      </c>
      <c r="T63">
        <f t="shared" si="20"/>
        <v>4074</v>
      </c>
      <c r="U63">
        <f t="shared" si="20"/>
        <v>4077</v>
      </c>
      <c r="V63">
        <f t="shared" si="20"/>
        <v>4381</v>
      </c>
      <c r="W63">
        <f t="shared" si="20"/>
        <v>4685</v>
      </c>
      <c r="X63">
        <f t="shared" si="20"/>
        <v>3162</v>
      </c>
      <c r="Y63">
        <f t="shared" si="20"/>
        <v>3466</v>
      </c>
      <c r="Z63">
        <f t="shared" si="20"/>
        <v>4378</v>
      </c>
      <c r="AA63">
        <f t="shared" si="20"/>
        <v>4682</v>
      </c>
      <c r="AB63">
        <f t="shared" si="20"/>
        <v>4986</v>
      </c>
      <c r="AC63">
        <f t="shared" si="20"/>
        <v>5293</v>
      </c>
      <c r="AD63">
        <f t="shared" si="20"/>
        <v>5600</v>
      </c>
      <c r="AE63">
        <f t="shared" si="20"/>
        <v>5907</v>
      </c>
    </row>
    <row r="65" spans="1:31" ht="12.75" x14ac:dyDescent="0.2">
      <c r="B65" t="s">
        <v>88</v>
      </c>
      <c r="C65">
        <f t="shared" ref="C65:P65" si="21">IF($C$5="Hollow",$E$21,$F$21)</f>
        <v>600</v>
      </c>
      <c r="D65">
        <f t="shared" si="21"/>
        <v>600</v>
      </c>
      <c r="E65">
        <f t="shared" si="21"/>
        <v>600</v>
      </c>
      <c r="F65">
        <f t="shared" si="21"/>
        <v>600</v>
      </c>
      <c r="G65">
        <f t="shared" si="21"/>
        <v>600</v>
      </c>
      <c r="H65">
        <f t="shared" si="21"/>
        <v>600</v>
      </c>
      <c r="I65">
        <f t="shared" si="21"/>
        <v>600</v>
      </c>
      <c r="J65">
        <f t="shared" si="21"/>
        <v>600</v>
      </c>
      <c r="K65">
        <f t="shared" si="21"/>
        <v>600</v>
      </c>
      <c r="L65">
        <f t="shared" si="21"/>
        <v>600</v>
      </c>
      <c r="M65">
        <f t="shared" si="21"/>
        <v>600</v>
      </c>
      <c r="N65">
        <f t="shared" si="21"/>
        <v>600</v>
      </c>
      <c r="O65">
        <f t="shared" si="21"/>
        <v>600</v>
      </c>
      <c r="P65">
        <f t="shared" si="21"/>
        <v>600</v>
      </c>
      <c r="R65">
        <f t="shared" ref="R65:W65" si="22">IF($C$5="Hollow",$E$23,$F$23)</f>
        <v>600</v>
      </c>
      <c r="S65">
        <f t="shared" si="22"/>
        <v>600</v>
      </c>
      <c r="T65">
        <f t="shared" si="22"/>
        <v>600</v>
      </c>
      <c r="U65">
        <f t="shared" si="22"/>
        <v>600</v>
      </c>
      <c r="V65">
        <f t="shared" si="22"/>
        <v>600</v>
      </c>
      <c r="W65">
        <f t="shared" si="22"/>
        <v>600</v>
      </c>
      <c r="X65">
        <f t="shared" ref="X65:AE65" si="23">IF($C$5="Hollow",$E$25,$F$25)</f>
        <v>500</v>
      </c>
      <c r="Y65">
        <f t="shared" si="23"/>
        <v>500</v>
      </c>
      <c r="Z65">
        <f t="shared" si="23"/>
        <v>500</v>
      </c>
      <c r="AA65">
        <f t="shared" si="23"/>
        <v>500</v>
      </c>
      <c r="AB65">
        <f t="shared" si="23"/>
        <v>500</v>
      </c>
      <c r="AC65">
        <f t="shared" si="23"/>
        <v>500</v>
      </c>
      <c r="AD65">
        <f t="shared" si="23"/>
        <v>500</v>
      </c>
      <c r="AE65">
        <f t="shared" si="23"/>
        <v>500</v>
      </c>
    </row>
    <row r="66" spans="1:31" ht="12.75" x14ac:dyDescent="0.2">
      <c r="B66" t="s">
        <v>89</v>
      </c>
      <c r="C66">
        <f>IF($C$5="Hollow",$E$22,$F$22)</f>
        <v>600</v>
      </c>
      <c r="D66">
        <f>IF($C$5="Hollow",$E$22,$F$22)</f>
        <v>600</v>
      </c>
      <c r="E66">
        <f>IF($C$5="Hollow",$E$22,$F$22)</f>
        <v>600</v>
      </c>
      <c r="F66">
        <f>IF($C$5="Hollow",$E$22,$F$22)</f>
        <v>600</v>
      </c>
      <c r="G66">
        <f>$E$27</f>
        <v>1050</v>
      </c>
      <c r="H66">
        <f>$E$27</f>
        <v>1050</v>
      </c>
      <c r="I66">
        <f>IF($C$5="Hollow",$E$22,$F$22)</f>
        <v>600</v>
      </c>
      <c r="J66">
        <f>$E$27</f>
        <v>1050</v>
      </c>
      <c r="K66">
        <f>IF($C$5="Hollow",$E$22,$F$22)</f>
        <v>600</v>
      </c>
      <c r="L66">
        <f>$E$27</f>
        <v>1050</v>
      </c>
      <c r="M66">
        <f>IF($C$5="Hollow",$E$22,$F$22)</f>
        <v>600</v>
      </c>
      <c r="N66">
        <f>$E$27</f>
        <v>1050</v>
      </c>
      <c r="O66">
        <f>IF($C$5="Hollow",$E$22,$F$22)</f>
        <v>600</v>
      </c>
      <c r="P66">
        <f>$E$27</f>
        <v>1050</v>
      </c>
      <c r="R66">
        <f t="shared" ref="R66:W66" si="24">IF($C$5="Hollow",$E$24,$F$24)</f>
        <v>600</v>
      </c>
      <c r="S66">
        <f t="shared" si="24"/>
        <v>600</v>
      </c>
      <c r="T66">
        <f t="shared" si="24"/>
        <v>600</v>
      </c>
      <c r="U66">
        <f t="shared" si="24"/>
        <v>600</v>
      </c>
      <c r="V66">
        <f t="shared" si="24"/>
        <v>600</v>
      </c>
      <c r="W66">
        <f t="shared" si="24"/>
        <v>600</v>
      </c>
      <c r="X66">
        <f t="shared" ref="X66:AE66" si="25">IF($C$5="Hollow",$E$26,$F$26)</f>
        <v>500</v>
      </c>
      <c r="Y66">
        <f t="shared" si="25"/>
        <v>500</v>
      </c>
      <c r="Z66">
        <f t="shared" si="25"/>
        <v>500</v>
      </c>
      <c r="AA66">
        <f t="shared" si="25"/>
        <v>500</v>
      </c>
      <c r="AB66">
        <f t="shared" si="25"/>
        <v>500</v>
      </c>
      <c r="AC66">
        <f t="shared" si="25"/>
        <v>500</v>
      </c>
      <c r="AD66">
        <f t="shared" si="25"/>
        <v>500</v>
      </c>
      <c r="AE66">
        <f t="shared" si="25"/>
        <v>500</v>
      </c>
    </row>
    <row r="68" spans="1:31" ht="12.75" x14ac:dyDescent="0.2">
      <c r="B68" t="s">
        <v>90</v>
      </c>
      <c r="C68">
        <f t="shared" ref="C68:P68" si="26">C56+C51+C57+C58+C59+C65+C66</f>
        <v>2382</v>
      </c>
      <c r="D68">
        <f t="shared" si="26"/>
        <v>2686</v>
      </c>
      <c r="E68">
        <f t="shared" si="26"/>
        <v>2990</v>
      </c>
      <c r="F68">
        <f t="shared" si="26"/>
        <v>3297</v>
      </c>
      <c r="G68">
        <f t="shared" si="26"/>
        <v>3747</v>
      </c>
      <c r="H68">
        <f t="shared" si="26"/>
        <v>4047</v>
      </c>
      <c r="I68">
        <f t="shared" si="26"/>
        <v>3797</v>
      </c>
      <c r="J68">
        <f t="shared" si="26"/>
        <v>4247</v>
      </c>
      <c r="K68">
        <f t="shared" si="26"/>
        <v>3601</v>
      </c>
      <c r="L68">
        <f t="shared" si="26"/>
        <v>4051</v>
      </c>
      <c r="M68">
        <f t="shared" si="26"/>
        <v>3901</v>
      </c>
      <c r="N68">
        <f t="shared" si="26"/>
        <v>4351</v>
      </c>
      <c r="O68">
        <f t="shared" si="26"/>
        <v>4101</v>
      </c>
      <c r="P68">
        <f t="shared" si="26"/>
        <v>4551</v>
      </c>
      <c r="R68">
        <f t="shared" ref="R68:AE68" si="27">R56+R51+R57+R58+R59+R65+R66</f>
        <v>4516</v>
      </c>
      <c r="S68">
        <f t="shared" si="27"/>
        <v>4820</v>
      </c>
      <c r="T68">
        <f t="shared" si="27"/>
        <v>5124</v>
      </c>
      <c r="U68">
        <f t="shared" si="27"/>
        <v>5127</v>
      </c>
      <c r="V68">
        <f t="shared" si="27"/>
        <v>5431</v>
      </c>
      <c r="W68">
        <f t="shared" si="27"/>
        <v>5735</v>
      </c>
      <c r="X68">
        <f t="shared" si="27"/>
        <v>4012</v>
      </c>
      <c r="Y68">
        <f t="shared" si="27"/>
        <v>4316</v>
      </c>
      <c r="Z68">
        <f t="shared" si="27"/>
        <v>5228</v>
      </c>
      <c r="AA68">
        <f t="shared" si="27"/>
        <v>5532</v>
      </c>
      <c r="AB68">
        <f t="shared" si="27"/>
        <v>5836</v>
      </c>
      <c r="AC68">
        <f t="shared" si="27"/>
        <v>6143</v>
      </c>
      <c r="AD68">
        <f t="shared" si="27"/>
        <v>6450</v>
      </c>
      <c r="AE68">
        <f t="shared" si="27"/>
        <v>6757</v>
      </c>
    </row>
    <row r="70" spans="1:31" ht="12.75" x14ac:dyDescent="0.2">
      <c r="B70" t="s">
        <v>91</v>
      </c>
      <c r="C70" t="b">
        <f t="shared" ref="C70:P70" si="28">IF(C51&gt;0,$C$5="Hollow",TRUE)</f>
        <v>1</v>
      </c>
      <c r="D70" t="b">
        <f t="shared" si="28"/>
        <v>1</v>
      </c>
      <c r="E70" t="b">
        <f t="shared" si="28"/>
        <v>1</v>
      </c>
      <c r="F70" t="b">
        <f t="shared" si="28"/>
        <v>1</v>
      </c>
      <c r="G70" t="b">
        <f t="shared" si="28"/>
        <v>1</v>
      </c>
      <c r="H70" t="b">
        <f t="shared" si="28"/>
        <v>1</v>
      </c>
      <c r="I70" t="b">
        <f t="shared" si="28"/>
        <v>1</v>
      </c>
      <c r="J70" t="b">
        <f t="shared" si="28"/>
        <v>1</v>
      </c>
      <c r="K70" t="b">
        <f t="shared" si="28"/>
        <v>1</v>
      </c>
      <c r="L70" t="b">
        <f t="shared" si="28"/>
        <v>1</v>
      </c>
      <c r="M70" t="b">
        <f t="shared" si="28"/>
        <v>1</v>
      </c>
      <c r="N70" t="b">
        <f t="shared" si="28"/>
        <v>1</v>
      </c>
      <c r="O70" t="b">
        <f t="shared" si="28"/>
        <v>1</v>
      </c>
      <c r="P70" t="b">
        <f t="shared" si="28"/>
        <v>1</v>
      </c>
      <c r="R70" t="b">
        <f t="shared" ref="R70:AE70" si="29">IF(R51&gt;0,$C$5="Hollow",TRUE)</f>
        <v>1</v>
      </c>
      <c r="S70" t="b">
        <f t="shared" si="29"/>
        <v>1</v>
      </c>
      <c r="T70" t="b">
        <f t="shared" si="29"/>
        <v>1</v>
      </c>
      <c r="U70" t="b">
        <f t="shared" si="29"/>
        <v>1</v>
      </c>
      <c r="V70" t="b">
        <f t="shared" si="29"/>
        <v>1</v>
      </c>
      <c r="W70" t="b">
        <f t="shared" si="29"/>
        <v>1</v>
      </c>
      <c r="X70" t="b">
        <f t="shared" si="29"/>
        <v>1</v>
      </c>
      <c r="Y70" t="b">
        <f t="shared" si="29"/>
        <v>1</v>
      </c>
      <c r="Z70" t="b">
        <f t="shared" si="29"/>
        <v>1</v>
      </c>
      <c r="AA70" t="b">
        <f t="shared" si="29"/>
        <v>1</v>
      </c>
      <c r="AB70" t="b">
        <f t="shared" si="29"/>
        <v>1</v>
      </c>
      <c r="AC70" t="b">
        <f t="shared" si="29"/>
        <v>1</v>
      </c>
      <c r="AD70" t="b">
        <f t="shared" si="29"/>
        <v>1</v>
      </c>
      <c r="AE70" t="b">
        <f t="shared" si="29"/>
        <v>1</v>
      </c>
    </row>
    <row r="71" spans="1:31" ht="12.75" x14ac:dyDescent="0.2">
      <c r="B71" t="s">
        <v>92</v>
      </c>
      <c r="C71" t="b">
        <f t="shared" ref="C71:P71" si="30">$C$39&gt;=C63</f>
        <v>1</v>
      </c>
      <c r="D71" t="b">
        <f t="shared" si="30"/>
        <v>1</v>
      </c>
      <c r="E71" t="b">
        <f t="shared" si="30"/>
        <v>1</v>
      </c>
      <c r="F71" t="b">
        <f t="shared" si="30"/>
        <v>1</v>
      </c>
      <c r="G71" t="b">
        <f t="shared" si="30"/>
        <v>1</v>
      </c>
      <c r="H71" t="b">
        <f t="shared" si="30"/>
        <v>1</v>
      </c>
      <c r="I71" t="b">
        <f t="shared" si="30"/>
        <v>1</v>
      </c>
      <c r="J71" t="b">
        <f t="shared" si="30"/>
        <v>1</v>
      </c>
      <c r="K71" t="b">
        <f t="shared" si="30"/>
        <v>1</v>
      </c>
      <c r="L71" t="b">
        <f t="shared" si="30"/>
        <v>1</v>
      </c>
      <c r="M71" t="b">
        <f t="shared" si="30"/>
        <v>1</v>
      </c>
      <c r="N71" t="b">
        <f t="shared" si="30"/>
        <v>1</v>
      </c>
      <c r="O71" t="b">
        <f t="shared" si="30"/>
        <v>1</v>
      </c>
      <c r="P71" t="b">
        <f t="shared" si="30"/>
        <v>0</v>
      </c>
      <c r="R71" t="b">
        <f t="shared" ref="R71:AE71" si="31">$C$39&gt;=R63</f>
        <v>0</v>
      </c>
      <c r="S71" t="b">
        <f t="shared" si="31"/>
        <v>0</v>
      </c>
      <c r="T71" t="b">
        <f t="shared" si="31"/>
        <v>0</v>
      </c>
      <c r="U71" t="b">
        <f t="shared" si="31"/>
        <v>0</v>
      </c>
      <c r="V71" t="b">
        <f t="shared" si="31"/>
        <v>0</v>
      </c>
      <c r="W71" t="b">
        <f t="shared" si="31"/>
        <v>0</v>
      </c>
      <c r="X71" t="b">
        <f t="shared" si="31"/>
        <v>0</v>
      </c>
      <c r="Y71" t="b">
        <f t="shared" si="31"/>
        <v>0</v>
      </c>
      <c r="Z71" t="b">
        <f t="shared" si="31"/>
        <v>0</v>
      </c>
      <c r="AA71" t="b">
        <f t="shared" si="31"/>
        <v>0</v>
      </c>
      <c r="AB71" t="b">
        <f t="shared" si="31"/>
        <v>0</v>
      </c>
      <c r="AC71" t="b">
        <f t="shared" si="31"/>
        <v>0</v>
      </c>
      <c r="AD71" t="b">
        <f t="shared" si="31"/>
        <v>0</v>
      </c>
      <c r="AE71" t="b">
        <f t="shared" si="31"/>
        <v>0</v>
      </c>
    </row>
    <row r="72" spans="1:31" ht="12.75" x14ac:dyDescent="0.2">
      <c r="B72" t="s">
        <v>93</v>
      </c>
      <c r="C72" t="b">
        <f t="shared" ref="C72:P72" si="32">$C$39&lt;=C68</f>
        <v>0</v>
      </c>
      <c r="D72" t="b">
        <f t="shared" si="32"/>
        <v>0</v>
      </c>
      <c r="E72" t="b">
        <f t="shared" si="32"/>
        <v>0</v>
      </c>
      <c r="F72" t="b">
        <f t="shared" si="32"/>
        <v>1</v>
      </c>
      <c r="G72" t="b">
        <f t="shared" si="32"/>
        <v>1</v>
      </c>
      <c r="H72" t="b">
        <f t="shared" si="32"/>
        <v>1</v>
      </c>
      <c r="I72" t="b">
        <f t="shared" si="32"/>
        <v>1</v>
      </c>
      <c r="J72" t="b">
        <f t="shared" si="32"/>
        <v>1</v>
      </c>
      <c r="K72" t="b">
        <f t="shared" si="32"/>
        <v>1</v>
      </c>
      <c r="L72" t="b">
        <f t="shared" si="32"/>
        <v>1</v>
      </c>
      <c r="M72" t="b">
        <f t="shared" si="32"/>
        <v>1</v>
      </c>
      <c r="N72" t="b">
        <f t="shared" si="32"/>
        <v>1</v>
      </c>
      <c r="O72" t="b">
        <f t="shared" si="32"/>
        <v>1</v>
      </c>
      <c r="P72" t="b">
        <f t="shared" si="32"/>
        <v>1</v>
      </c>
      <c r="R72" t="b">
        <f t="shared" ref="R72:AE72" si="33">$C$39&lt;=R68</f>
        <v>1</v>
      </c>
      <c r="S72" t="b">
        <f t="shared" si="33"/>
        <v>1</v>
      </c>
      <c r="T72" t="b">
        <f t="shared" si="33"/>
        <v>1</v>
      </c>
      <c r="U72" t="b">
        <f t="shared" si="33"/>
        <v>1</v>
      </c>
      <c r="V72" t="b">
        <f t="shared" si="33"/>
        <v>1</v>
      </c>
      <c r="W72" t="b">
        <f t="shared" si="33"/>
        <v>1</v>
      </c>
      <c r="X72" t="b">
        <f t="shared" si="33"/>
        <v>1</v>
      </c>
      <c r="Y72" t="b">
        <f t="shared" si="33"/>
        <v>1</v>
      </c>
      <c r="Z72" t="b">
        <f t="shared" si="33"/>
        <v>1</v>
      </c>
      <c r="AA72" t="b">
        <f t="shared" si="33"/>
        <v>1</v>
      </c>
      <c r="AB72" t="b">
        <f t="shared" si="33"/>
        <v>1</v>
      </c>
      <c r="AC72" t="b">
        <f t="shared" si="33"/>
        <v>1</v>
      </c>
      <c r="AD72" t="b">
        <f t="shared" si="33"/>
        <v>1</v>
      </c>
      <c r="AE72" t="b">
        <f t="shared" si="33"/>
        <v>1</v>
      </c>
    </row>
    <row r="73" spans="1:31" ht="12.75" x14ac:dyDescent="0.2">
      <c r="B73" t="s">
        <v>94</v>
      </c>
      <c r="C73" t="b">
        <f t="shared" ref="C73:P73" si="34">AND(C70,C71,C72)</f>
        <v>0</v>
      </c>
      <c r="D73" t="b">
        <f t="shared" si="34"/>
        <v>0</v>
      </c>
      <c r="E73" t="b">
        <f t="shared" si="34"/>
        <v>0</v>
      </c>
      <c r="F73" t="b">
        <f t="shared" si="34"/>
        <v>1</v>
      </c>
      <c r="G73" t="b">
        <f t="shared" si="34"/>
        <v>1</v>
      </c>
      <c r="H73" t="b">
        <f t="shared" si="34"/>
        <v>1</v>
      </c>
      <c r="I73" t="b">
        <f t="shared" si="34"/>
        <v>1</v>
      </c>
      <c r="J73" t="b">
        <f t="shared" si="34"/>
        <v>1</v>
      </c>
      <c r="K73" t="b">
        <f t="shared" si="34"/>
        <v>1</v>
      </c>
      <c r="L73" t="b">
        <f t="shared" si="34"/>
        <v>1</v>
      </c>
      <c r="M73" t="b">
        <f t="shared" si="34"/>
        <v>1</v>
      </c>
      <c r="N73" t="b">
        <f t="shared" si="34"/>
        <v>1</v>
      </c>
      <c r="O73" t="b">
        <f t="shared" si="34"/>
        <v>1</v>
      </c>
      <c r="P73" t="b">
        <f t="shared" si="34"/>
        <v>0</v>
      </c>
      <c r="R73" t="b">
        <f t="shared" ref="R73:AE73" si="35">AND(R70,R71,R72)</f>
        <v>0</v>
      </c>
      <c r="S73" t="b">
        <f t="shared" si="35"/>
        <v>0</v>
      </c>
      <c r="T73" t="b">
        <f t="shared" si="35"/>
        <v>0</v>
      </c>
      <c r="U73" t="b">
        <f t="shared" si="35"/>
        <v>0</v>
      </c>
      <c r="V73" t="b">
        <f t="shared" si="35"/>
        <v>0</v>
      </c>
      <c r="W73" t="b">
        <f t="shared" si="35"/>
        <v>0</v>
      </c>
      <c r="X73" t="b">
        <f t="shared" si="35"/>
        <v>0</v>
      </c>
      <c r="Y73" t="b">
        <f t="shared" si="35"/>
        <v>0</v>
      </c>
      <c r="Z73" t="b">
        <f t="shared" si="35"/>
        <v>0</v>
      </c>
      <c r="AA73" t="b">
        <f t="shared" si="35"/>
        <v>0</v>
      </c>
      <c r="AB73" t="b">
        <f t="shared" si="35"/>
        <v>0</v>
      </c>
      <c r="AC73" t="b">
        <f t="shared" si="35"/>
        <v>0</v>
      </c>
      <c r="AD73" t="b">
        <f t="shared" si="35"/>
        <v>0</v>
      </c>
      <c r="AE73" t="b">
        <f t="shared" si="35"/>
        <v>0</v>
      </c>
    </row>
    <row r="75" spans="1:31" ht="12.75" x14ac:dyDescent="0.2">
      <c r="B75" t="s">
        <v>95</v>
      </c>
      <c r="C75" t="str">
        <f t="shared" ref="C75:P75" si="36">IF(C73,C45,"")</f>
        <v/>
      </c>
      <c r="D75" t="str">
        <f t="shared" si="36"/>
        <v/>
      </c>
      <c r="E75" t="str">
        <f t="shared" si="36"/>
        <v/>
      </c>
      <c r="F75" t="str">
        <f t="shared" si="36"/>
        <v>6ft</v>
      </c>
      <c r="G75" t="str">
        <f t="shared" si="36"/>
        <v>6ft Prop Inner</v>
      </c>
      <c r="H75" t="str">
        <f t="shared" si="36"/>
        <v>6ft 300 Extension Prop Inner</v>
      </c>
      <c r="I75" t="str">
        <f t="shared" si="36"/>
        <v>6ft 500 Extension</v>
      </c>
      <c r="J75" t="str">
        <f t="shared" si="36"/>
        <v>6ft 500 Extension Prop Inner</v>
      </c>
      <c r="K75" t="str">
        <f t="shared" si="36"/>
        <v>7ft</v>
      </c>
      <c r="L75" t="str">
        <f t="shared" si="36"/>
        <v>7ft Prop Inner</v>
      </c>
      <c r="M75" t="str">
        <f t="shared" si="36"/>
        <v>7ft 300 Extension</v>
      </c>
      <c r="N75" t="str">
        <f t="shared" si="36"/>
        <v>7ft 300 Extension Prop Inner</v>
      </c>
      <c r="O75" t="str">
        <f t="shared" si="36"/>
        <v>7ft 500 Extension</v>
      </c>
      <c r="P75" t="str">
        <f t="shared" si="36"/>
        <v/>
      </c>
      <c r="R75" t="str">
        <f t="shared" ref="R75:AE75" si="37">IF(R73,R45,"")</f>
        <v/>
      </c>
      <c r="S75" t="str">
        <f t="shared" si="37"/>
        <v/>
      </c>
      <c r="T75" t="str">
        <f t="shared" si="37"/>
        <v/>
      </c>
      <c r="U75" t="str">
        <f t="shared" si="37"/>
        <v/>
      </c>
      <c r="V75" t="str">
        <f t="shared" si="37"/>
        <v/>
      </c>
      <c r="W75" t="str">
        <f t="shared" si="37"/>
        <v/>
      </c>
      <c r="X75" t="str">
        <f t="shared" si="37"/>
        <v/>
      </c>
      <c r="Y75" t="str">
        <f t="shared" si="37"/>
        <v/>
      </c>
      <c r="Z75" t="str">
        <f t="shared" si="37"/>
        <v/>
      </c>
      <c r="AA75" t="str">
        <f t="shared" si="37"/>
        <v/>
      </c>
      <c r="AB75" t="str">
        <f t="shared" si="37"/>
        <v/>
      </c>
      <c r="AC75" t="str">
        <f t="shared" si="37"/>
        <v/>
      </c>
      <c r="AD75" t="str">
        <f t="shared" si="37"/>
        <v/>
      </c>
      <c r="AE75" t="str">
        <f t="shared" si="37"/>
        <v/>
      </c>
    </row>
    <row r="76" spans="1:31" ht="12.75" x14ac:dyDescent="0.2">
      <c r="B76" t="s">
        <v>96</v>
      </c>
      <c r="C76" t="str">
        <f>IF(C73,C45,"")</f>
        <v/>
      </c>
      <c r="D76" t="str">
        <f>IF(D73,D45,"")</f>
        <v/>
      </c>
      <c r="E76" t="str">
        <f>IF(E73,E45,"")</f>
        <v/>
      </c>
      <c r="F76" t="str">
        <f>IF(F73,F45,IF(I73,I45,""))</f>
        <v>6ft</v>
      </c>
      <c r="K76" t="str">
        <f>IF(K73,K45,IF(M73,M45,IF(O73,O45,"")))</f>
        <v>7ft</v>
      </c>
      <c r="R76" t="str">
        <f t="shared" ref="R76:W76" si="38">R75</f>
        <v/>
      </c>
      <c r="S76" t="str">
        <f t="shared" si="38"/>
        <v/>
      </c>
      <c r="T76" t="str">
        <f t="shared" si="38"/>
        <v/>
      </c>
      <c r="U76" t="str">
        <f t="shared" si="38"/>
        <v/>
      </c>
      <c r="V76" t="str">
        <f t="shared" si="38"/>
        <v/>
      </c>
      <c r="W76" t="str">
        <f t="shared" si="38"/>
        <v/>
      </c>
    </row>
    <row r="78" spans="1:31" ht="12.75" x14ac:dyDescent="0.2">
      <c r="A78" t="s">
        <v>0</v>
      </c>
      <c r="B78" t="s">
        <v>0</v>
      </c>
    </row>
    <row r="79" spans="1:31" ht="12.75" x14ac:dyDescent="0.2">
      <c r="B79" t="s">
        <v>97</v>
      </c>
      <c r="C79" t="str">
        <f>_xlfn.TEXTJOIN("  |  ",TRUE,C76:P76)</f>
        <v>6ft  |  7ft</v>
      </c>
    </row>
    <row r="80" spans="1:31" ht="12.75" x14ac:dyDescent="0.2">
      <c r="B80" t="s">
        <v>98</v>
      </c>
      <c r="C80" t="str">
        <f>_xlfn.TEXTJOIN("  |  ",TRUE,R76:W76)</f>
        <v/>
      </c>
    </row>
    <row r="81" spans="1:31" ht="12.75" x14ac:dyDescent="0.2">
      <c r="B81" t="s">
        <v>99</v>
      </c>
      <c r="C81" t="s">
        <v>100</v>
      </c>
    </row>
    <row r="82" spans="1:31" ht="12.75" x14ac:dyDescent="0.2">
      <c r="A82" t="s">
        <v>0</v>
      </c>
      <c r="B82" t="s">
        <v>0</v>
      </c>
    </row>
    <row r="83" spans="1:31" ht="12.75" x14ac:dyDescent="0.2">
      <c r="B83" t="s">
        <v>97</v>
      </c>
      <c r="C83" t="str">
        <f>_xlfn.TEXTJOIN("  |  ",TRUE,C75:P75)</f>
        <v>6ft  |  6ft Prop Inner  |  6ft 300 Extension Prop Inner  |  6ft 500 Extension  |  6ft 500 Extension Prop Inner  |  7ft  |  7ft Prop Inner  |  7ft 300 Extension  |  7ft 300 Extension Prop Inner  |  7ft 500 Extension</v>
      </c>
    </row>
    <row r="84" spans="1:31" ht="12.75" x14ac:dyDescent="0.2">
      <c r="B84" t="s">
        <v>98</v>
      </c>
      <c r="C84" t="str">
        <f>_xlfn.TEXTJOIN("  |  ",TRUE,R75:W75)</f>
        <v/>
      </c>
    </row>
    <row r="85" spans="1:31" ht="12.75" x14ac:dyDescent="0.2">
      <c r="B85" t="s">
        <v>99</v>
      </c>
      <c r="C85" t="str">
        <f>_xlfn.TEXTJOIN("  |  ",TRUE,X75:AE75)</f>
        <v/>
      </c>
    </row>
    <row r="88" spans="1:31" ht="12.75" x14ac:dyDescent="0.2">
      <c r="A88" t="s">
        <v>0</v>
      </c>
      <c r="B88" t="s">
        <v>0</v>
      </c>
    </row>
    <row r="90" spans="1:31" ht="12.75" x14ac:dyDescent="0.2">
      <c r="B90" s="1" t="s">
        <v>42</v>
      </c>
      <c r="C90" t="s">
        <v>43</v>
      </c>
      <c r="D90" t="s">
        <v>44</v>
      </c>
      <c r="E90" t="s">
        <v>45</v>
      </c>
      <c r="F90" t="s">
        <v>46</v>
      </c>
      <c r="G90" t="s">
        <v>49</v>
      </c>
      <c r="H90" t="s">
        <v>51</v>
      </c>
      <c r="I90" t="s">
        <v>53</v>
      </c>
      <c r="J90" t="s">
        <v>55</v>
      </c>
      <c r="R90" t="s">
        <v>57</v>
      </c>
      <c r="S90" t="s">
        <v>58</v>
      </c>
      <c r="T90" t="s">
        <v>59</v>
      </c>
      <c r="U90" t="s">
        <v>60</v>
      </c>
      <c r="V90" t="s">
        <v>61</v>
      </c>
      <c r="W90" t="s">
        <v>62</v>
      </c>
      <c r="X90" t="s">
        <v>63</v>
      </c>
      <c r="Y90" t="s">
        <v>64</v>
      </c>
      <c r="Z90" t="s">
        <v>65</v>
      </c>
      <c r="AA90" t="s">
        <v>66</v>
      </c>
      <c r="AB90" t="s">
        <v>67</v>
      </c>
      <c r="AC90" t="s">
        <v>68</v>
      </c>
      <c r="AD90" t="s">
        <v>69</v>
      </c>
      <c r="AE90" t="s">
        <v>70</v>
      </c>
    </row>
    <row r="91" spans="1:31" ht="12.75" x14ac:dyDescent="0.2">
      <c r="B91" t="s">
        <v>71</v>
      </c>
      <c r="C91" t="s">
        <v>72</v>
      </c>
      <c r="D91" t="s">
        <v>72</v>
      </c>
      <c r="E91" t="s">
        <v>72</v>
      </c>
      <c r="F91" t="s">
        <v>72</v>
      </c>
      <c r="G91" t="s">
        <v>72</v>
      </c>
      <c r="H91" t="s">
        <v>72</v>
      </c>
      <c r="I91" t="s">
        <v>72</v>
      </c>
      <c r="J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</row>
    <row r="93" spans="1:31" ht="12.75" x14ac:dyDescent="0.2">
      <c r="B93" t="s">
        <v>74</v>
      </c>
      <c r="C93">
        <v>3</v>
      </c>
      <c r="D93">
        <v>4</v>
      </c>
      <c r="E93">
        <v>5</v>
      </c>
      <c r="F93">
        <v>6</v>
      </c>
      <c r="G93">
        <v>6</v>
      </c>
      <c r="H93">
        <v>7</v>
      </c>
      <c r="I93">
        <v>7</v>
      </c>
      <c r="J93">
        <v>7</v>
      </c>
      <c r="R93">
        <v>4</v>
      </c>
      <c r="S93">
        <v>5</v>
      </c>
      <c r="T93">
        <v>5</v>
      </c>
      <c r="U93">
        <v>6</v>
      </c>
      <c r="V93">
        <v>6</v>
      </c>
      <c r="W93">
        <v>7</v>
      </c>
      <c r="X93">
        <v>3</v>
      </c>
      <c r="Y93">
        <v>3</v>
      </c>
      <c r="Z93">
        <v>3</v>
      </c>
      <c r="AA93">
        <v>4</v>
      </c>
      <c r="AB93">
        <v>5</v>
      </c>
      <c r="AC93">
        <v>5</v>
      </c>
      <c r="AD93">
        <v>5</v>
      </c>
      <c r="AE93">
        <v>6</v>
      </c>
    </row>
    <row r="94" spans="1:31" ht="12.75" x14ac:dyDescent="0.2">
      <c r="B94" t="s">
        <v>75</v>
      </c>
      <c r="R94">
        <v>6</v>
      </c>
      <c r="S94">
        <v>6</v>
      </c>
      <c r="T94">
        <v>7</v>
      </c>
      <c r="U94">
        <v>6</v>
      </c>
      <c r="V94">
        <v>7</v>
      </c>
      <c r="W94">
        <v>7</v>
      </c>
      <c r="X94">
        <v>3</v>
      </c>
      <c r="Y94">
        <v>3</v>
      </c>
      <c r="Z94">
        <v>5</v>
      </c>
      <c r="AA94">
        <v>5</v>
      </c>
      <c r="AB94">
        <v>5</v>
      </c>
      <c r="AC94">
        <v>5</v>
      </c>
      <c r="AD94">
        <v>6</v>
      </c>
      <c r="AE94">
        <v>6</v>
      </c>
    </row>
    <row r="95" spans="1:31" ht="12.75" x14ac:dyDescent="0.2">
      <c r="B95" t="s">
        <v>76</v>
      </c>
      <c r="X95">
        <v>3</v>
      </c>
      <c r="Y95">
        <v>4</v>
      </c>
      <c r="Z95">
        <v>5</v>
      </c>
      <c r="AA95">
        <v>5</v>
      </c>
      <c r="AB95">
        <v>5</v>
      </c>
      <c r="AC95">
        <v>6</v>
      </c>
      <c r="AD95">
        <v>6</v>
      </c>
      <c r="AE95">
        <v>6</v>
      </c>
    </row>
    <row r="96" spans="1:31" ht="12.75" x14ac:dyDescent="0.2">
      <c r="B96" t="s">
        <v>77</v>
      </c>
      <c r="C96">
        <v>0</v>
      </c>
      <c r="D96">
        <v>0</v>
      </c>
      <c r="E96">
        <v>0</v>
      </c>
      <c r="F96">
        <v>0</v>
      </c>
      <c r="G96">
        <v>500</v>
      </c>
      <c r="H96">
        <v>0</v>
      </c>
      <c r="I96">
        <v>300</v>
      </c>
      <c r="J96">
        <v>500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8" spans="2:31" ht="12.75" x14ac:dyDescent="0.2">
      <c r="B98" t="s">
        <v>78</v>
      </c>
      <c r="C98">
        <f t="shared" ref="C98:J100" si="39">IFERROR(INDEX($E$10:$E$14,MATCH(C93,$D$10:$D$14,0)),0)</f>
        <v>915</v>
      </c>
      <c r="D98">
        <f t="shared" si="39"/>
        <v>1219</v>
      </c>
      <c r="E98">
        <f t="shared" si="39"/>
        <v>1523</v>
      </c>
      <c r="F98">
        <f t="shared" si="39"/>
        <v>1830</v>
      </c>
      <c r="G98">
        <f t="shared" si="39"/>
        <v>1830</v>
      </c>
      <c r="H98">
        <f t="shared" si="39"/>
        <v>2134</v>
      </c>
      <c r="I98">
        <f t="shared" si="39"/>
        <v>2134</v>
      </c>
      <c r="J98">
        <f t="shared" si="39"/>
        <v>2134</v>
      </c>
      <c r="R98">
        <f t="shared" ref="R98:AE98" si="40">IFERROR(INDEX($E$10:$E$14,MATCH(R93,$D$10:$D$14,0)),0)</f>
        <v>1219</v>
      </c>
      <c r="S98">
        <f t="shared" si="40"/>
        <v>1523</v>
      </c>
      <c r="T98">
        <f t="shared" si="40"/>
        <v>1523</v>
      </c>
      <c r="U98">
        <f t="shared" si="40"/>
        <v>1830</v>
      </c>
      <c r="V98">
        <f t="shared" si="40"/>
        <v>1830</v>
      </c>
      <c r="W98">
        <f t="shared" si="40"/>
        <v>2134</v>
      </c>
      <c r="X98">
        <f t="shared" si="40"/>
        <v>915</v>
      </c>
      <c r="Y98">
        <f t="shared" si="40"/>
        <v>915</v>
      </c>
      <c r="Z98">
        <f t="shared" si="40"/>
        <v>915</v>
      </c>
      <c r="AA98">
        <f t="shared" si="40"/>
        <v>1219</v>
      </c>
      <c r="AB98">
        <f t="shared" si="40"/>
        <v>1523</v>
      </c>
      <c r="AC98">
        <f t="shared" si="40"/>
        <v>1523</v>
      </c>
      <c r="AD98">
        <f t="shared" si="40"/>
        <v>1523</v>
      </c>
      <c r="AE98">
        <f t="shared" si="40"/>
        <v>1830</v>
      </c>
    </row>
    <row r="99" spans="2:31" ht="12.75" x14ac:dyDescent="0.2">
      <c r="B99" t="s">
        <v>79</v>
      </c>
      <c r="C99">
        <f t="shared" si="39"/>
        <v>0</v>
      </c>
      <c r="D99">
        <f t="shared" si="39"/>
        <v>0</v>
      </c>
      <c r="E99">
        <f t="shared" si="39"/>
        <v>0</v>
      </c>
      <c r="F99">
        <f t="shared" si="39"/>
        <v>0</v>
      </c>
      <c r="G99">
        <f t="shared" si="39"/>
        <v>0</v>
      </c>
      <c r="H99">
        <f t="shared" si="39"/>
        <v>0</v>
      </c>
      <c r="I99">
        <f t="shared" si="39"/>
        <v>0</v>
      </c>
      <c r="J99">
        <f t="shared" si="39"/>
        <v>0</v>
      </c>
      <c r="R99">
        <f t="shared" ref="R99:AE99" si="41">IFERROR(INDEX($E$10:$E$14,MATCH(R94,$D$10:$D$14,0)),0)</f>
        <v>1830</v>
      </c>
      <c r="S99">
        <f t="shared" si="41"/>
        <v>1830</v>
      </c>
      <c r="T99">
        <f t="shared" si="41"/>
        <v>2134</v>
      </c>
      <c r="U99">
        <f t="shared" si="41"/>
        <v>1830</v>
      </c>
      <c r="V99">
        <f t="shared" si="41"/>
        <v>2134</v>
      </c>
      <c r="W99">
        <f t="shared" si="41"/>
        <v>2134</v>
      </c>
      <c r="X99">
        <f t="shared" si="41"/>
        <v>915</v>
      </c>
      <c r="Y99">
        <f t="shared" si="41"/>
        <v>915</v>
      </c>
      <c r="Z99">
        <f t="shared" si="41"/>
        <v>1523</v>
      </c>
      <c r="AA99">
        <f t="shared" si="41"/>
        <v>1523</v>
      </c>
      <c r="AB99">
        <f t="shared" si="41"/>
        <v>1523</v>
      </c>
      <c r="AC99">
        <f t="shared" si="41"/>
        <v>1523</v>
      </c>
      <c r="AD99">
        <f t="shared" si="41"/>
        <v>1830</v>
      </c>
      <c r="AE99">
        <f t="shared" si="41"/>
        <v>1830</v>
      </c>
    </row>
    <row r="100" spans="2:31" ht="12.75" x14ac:dyDescent="0.2">
      <c r="B100" t="s">
        <v>80</v>
      </c>
      <c r="C100">
        <f t="shared" si="39"/>
        <v>0</v>
      </c>
      <c r="D100">
        <f t="shared" si="39"/>
        <v>0</v>
      </c>
      <c r="E100">
        <f t="shared" si="39"/>
        <v>0</v>
      </c>
      <c r="F100">
        <f t="shared" si="39"/>
        <v>0</v>
      </c>
      <c r="G100">
        <f t="shared" si="39"/>
        <v>0</v>
      </c>
      <c r="H100">
        <f t="shared" si="39"/>
        <v>0</v>
      </c>
      <c r="I100">
        <f t="shared" si="39"/>
        <v>0</v>
      </c>
      <c r="J100">
        <f t="shared" si="39"/>
        <v>0</v>
      </c>
      <c r="R100">
        <f t="shared" ref="R100:AE100" si="42">IFERROR(INDEX($E$10:$E$14,MATCH(R95,$D$10:$D$14,0)),0)</f>
        <v>0</v>
      </c>
      <c r="S100">
        <f t="shared" si="42"/>
        <v>0</v>
      </c>
      <c r="T100">
        <f t="shared" si="42"/>
        <v>0</v>
      </c>
      <c r="U100">
        <f t="shared" si="42"/>
        <v>0</v>
      </c>
      <c r="V100">
        <f t="shared" si="42"/>
        <v>0</v>
      </c>
      <c r="W100">
        <f t="shared" si="42"/>
        <v>0</v>
      </c>
      <c r="X100">
        <f t="shared" si="42"/>
        <v>915</v>
      </c>
      <c r="Y100">
        <f t="shared" si="42"/>
        <v>1219</v>
      </c>
      <c r="Z100">
        <f t="shared" si="42"/>
        <v>1523</v>
      </c>
      <c r="AA100">
        <f t="shared" si="42"/>
        <v>1523</v>
      </c>
      <c r="AB100">
        <f t="shared" si="42"/>
        <v>1523</v>
      </c>
      <c r="AC100">
        <f t="shared" si="42"/>
        <v>1830</v>
      </c>
      <c r="AD100">
        <f t="shared" si="42"/>
        <v>1830</v>
      </c>
      <c r="AE100">
        <f t="shared" si="42"/>
        <v>1830</v>
      </c>
    </row>
    <row r="101" spans="2:31" ht="12.75" x14ac:dyDescent="0.2">
      <c r="B101" t="s">
        <v>81</v>
      </c>
      <c r="C101">
        <f t="shared" ref="C101:J101" si="43">SUM(C98:C100)</f>
        <v>915</v>
      </c>
      <c r="D101">
        <f t="shared" si="43"/>
        <v>1219</v>
      </c>
      <c r="E101">
        <f t="shared" si="43"/>
        <v>1523</v>
      </c>
      <c r="F101">
        <f t="shared" si="43"/>
        <v>1830</v>
      </c>
      <c r="G101">
        <f t="shared" si="43"/>
        <v>1830</v>
      </c>
      <c r="H101">
        <f t="shared" si="43"/>
        <v>2134</v>
      </c>
      <c r="I101">
        <f t="shared" si="43"/>
        <v>2134</v>
      </c>
      <c r="J101">
        <f t="shared" si="43"/>
        <v>2134</v>
      </c>
      <c r="R101">
        <f t="shared" ref="R101:AE101" si="44">SUM(R98:R100)</f>
        <v>3049</v>
      </c>
      <c r="S101">
        <f t="shared" si="44"/>
        <v>3353</v>
      </c>
      <c r="T101">
        <f t="shared" si="44"/>
        <v>3657</v>
      </c>
      <c r="U101">
        <f t="shared" si="44"/>
        <v>3660</v>
      </c>
      <c r="V101">
        <f t="shared" si="44"/>
        <v>3964</v>
      </c>
      <c r="W101">
        <f t="shared" si="44"/>
        <v>4268</v>
      </c>
      <c r="X101">
        <f t="shared" si="44"/>
        <v>2745</v>
      </c>
      <c r="Y101">
        <f t="shared" si="44"/>
        <v>3049</v>
      </c>
      <c r="Z101">
        <f t="shared" si="44"/>
        <v>3961</v>
      </c>
      <c r="AA101">
        <f t="shared" si="44"/>
        <v>4265</v>
      </c>
      <c r="AB101">
        <f t="shared" si="44"/>
        <v>4569</v>
      </c>
      <c r="AC101">
        <f t="shared" si="44"/>
        <v>4876</v>
      </c>
      <c r="AD101">
        <f t="shared" si="44"/>
        <v>5183</v>
      </c>
      <c r="AE101">
        <f t="shared" si="44"/>
        <v>5490</v>
      </c>
    </row>
    <row r="102" spans="2:31" ht="12.75" x14ac:dyDescent="0.2">
      <c r="B102" t="s">
        <v>82</v>
      </c>
      <c r="C102">
        <f t="shared" ref="C102:J102" si="45">$E$30</f>
        <v>100</v>
      </c>
      <c r="D102">
        <f t="shared" si="45"/>
        <v>100</v>
      </c>
      <c r="E102">
        <f t="shared" si="45"/>
        <v>100</v>
      </c>
      <c r="F102">
        <f t="shared" si="45"/>
        <v>100</v>
      </c>
      <c r="G102">
        <f t="shared" si="45"/>
        <v>100</v>
      </c>
      <c r="H102">
        <f t="shared" si="45"/>
        <v>100</v>
      </c>
      <c r="I102">
        <f t="shared" si="45"/>
        <v>100</v>
      </c>
      <c r="J102">
        <f t="shared" si="45"/>
        <v>100</v>
      </c>
      <c r="R102">
        <f t="shared" ref="R102:AE102" si="46">$E$30</f>
        <v>100</v>
      </c>
      <c r="S102">
        <f t="shared" si="46"/>
        <v>100</v>
      </c>
      <c r="T102">
        <f t="shared" si="46"/>
        <v>100</v>
      </c>
      <c r="U102">
        <f t="shared" si="46"/>
        <v>100</v>
      </c>
      <c r="V102">
        <f t="shared" si="46"/>
        <v>100</v>
      </c>
      <c r="W102">
        <f t="shared" si="46"/>
        <v>100</v>
      </c>
      <c r="X102">
        <f t="shared" si="46"/>
        <v>100</v>
      </c>
      <c r="Y102">
        <f t="shared" si="46"/>
        <v>100</v>
      </c>
      <c r="Z102">
        <f t="shared" si="46"/>
        <v>100</v>
      </c>
      <c r="AA102">
        <f t="shared" si="46"/>
        <v>100</v>
      </c>
      <c r="AB102">
        <f t="shared" si="46"/>
        <v>100</v>
      </c>
      <c r="AC102">
        <f t="shared" si="46"/>
        <v>100</v>
      </c>
      <c r="AD102">
        <f t="shared" si="46"/>
        <v>100</v>
      </c>
      <c r="AE102">
        <f t="shared" si="46"/>
        <v>100</v>
      </c>
    </row>
    <row r="103" spans="2:31" ht="12.75" x14ac:dyDescent="0.2">
      <c r="B103" t="s">
        <v>83</v>
      </c>
      <c r="C103">
        <f t="shared" ref="C103:J103" si="47">$E$31</f>
        <v>150</v>
      </c>
      <c r="D103">
        <f t="shared" si="47"/>
        <v>150</v>
      </c>
      <c r="E103">
        <f t="shared" si="47"/>
        <v>150</v>
      </c>
      <c r="F103">
        <f t="shared" si="47"/>
        <v>150</v>
      </c>
      <c r="G103">
        <f t="shared" si="47"/>
        <v>150</v>
      </c>
      <c r="H103">
        <f t="shared" si="47"/>
        <v>150</v>
      </c>
      <c r="I103">
        <f t="shared" si="47"/>
        <v>150</v>
      </c>
      <c r="J103">
        <f t="shared" si="47"/>
        <v>150</v>
      </c>
      <c r="R103">
        <f t="shared" ref="R103:AE103" si="48">$E$31</f>
        <v>150</v>
      </c>
      <c r="S103">
        <f t="shared" si="48"/>
        <v>150</v>
      </c>
      <c r="T103">
        <f t="shared" si="48"/>
        <v>150</v>
      </c>
      <c r="U103">
        <f t="shared" si="48"/>
        <v>150</v>
      </c>
      <c r="V103">
        <f t="shared" si="48"/>
        <v>150</v>
      </c>
      <c r="W103">
        <f t="shared" si="48"/>
        <v>150</v>
      </c>
      <c r="X103">
        <f t="shared" si="48"/>
        <v>150</v>
      </c>
      <c r="Y103">
        <f t="shared" si="48"/>
        <v>150</v>
      </c>
      <c r="Z103">
        <f t="shared" si="48"/>
        <v>150</v>
      </c>
      <c r="AA103">
        <f t="shared" si="48"/>
        <v>150</v>
      </c>
      <c r="AB103">
        <f t="shared" si="48"/>
        <v>150</v>
      </c>
      <c r="AC103">
        <f t="shared" si="48"/>
        <v>150</v>
      </c>
      <c r="AD103">
        <f t="shared" si="48"/>
        <v>150</v>
      </c>
      <c r="AE103">
        <f t="shared" si="48"/>
        <v>150</v>
      </c>
    </row>
    <row r="104" spans="2:31" ht="12.75" x14ac:dyDescent="0.2">
      <c r="B104" t="s">
        <v>84</v>
      </c>
      <c r="C104">
        <f t="shared" ref="C104:J104" si="49">$E$32</f>
        <v>17</v>
      </c>
      <c r="D104">
        <f t="shared" si="49"/>
        <v>17</v>
      </c>
      <c r="E104">
        <f t="shared" si="49"/>
        <v>17</v>
      </c>
      <c r="F104">
        <f t="shared" si="49"/>
        <v>17</v>
      </c>
      <c r="G104">
        <f t="shared" si="49"/>
        <v>17</v>
      </c>
      <c r="H104">
        <f t="shared" si="49"/>
        <v>17</v>
      </c>
      <c r="I104">
        <f t="shared" si="49"/>
        <v>17</v>
      </c>
      <c r="J104">
        <f t="shared" si="49"/>
        <v>17</v>
      </c>
      <c r="R104">
        <f t="shared" ref="R104:AE104" si="50">$E$32</f>
        <v>17</v>
      </c>
      <c r="S104">
        <f t="shared" si="50"/>
        <v>17</v>
      </c>
      <c r="T104">
        <f t="shared" si="50"/>
        <v>17</v>
      </c>
      <c r="U104">
        <f t="shared" si="50"/>
        <v>17</v>
      </c>
      <c r="V104">
        <f t="shared" si="50"/>
        <v>17</v>
      </c>
      <c r="W104">
        <f t="shared" si="50"/>
        <v>17</v>
      </c>
      <c r="X104">
        <f t="shared" si="50"/>
        <v>17</v>
      </c>
      <c r="Y104">
        <f t="shared" si="50"/>
        <v>17</v>
      </c>
      <c r="Z104">
        <f t="shared" si="50"/>
        <v>17</v>
      </c>
      <c r="AA104">
        <f t="shared" si="50"/>
        <v>17</v>
      </c>
      <c r="AB104">
        <f t="shared" si="50"/>
        <v>17</v>
      </c>
      <c r="AC104">
        <f t="shared" si="50"/>
        <v>17</v>
      </c>
      <c r="AD104">
        <f t="shared" si="50"/>
        <v>17</v>
      </c>
      <c r="AE104">
        <f t="shared" si="50"/>
        <v>17</v>
      </c>
    </row>
    <row r="105" spans="2:31" ht="12.75" x14ac:dyDescent="0.2">
      <c r="B105" t="s">
        <v>85</v>
      </c>
      <c r="C105">
        <f t="shared" ref="C105:J105" si="51">$D$21</f>
        <v>100</v>
      </c>
      <c r="D105">
        <f t="shared" si="51"/>
        <v>100</v>
      </c>
      <c r="E105">
        <f t="shared" si="51"/>
        <v>100</v>
      </c>
      <c r="F105">
        <f t="shared" si="51"/>
        <v>100</v>
      </c>
      <c r="G105">
        <f t="shared" si="51"/>
        <v>100</v>
      </c>
      <c r="H105">
        <f t="shared" si="51"/>
        <v>100</v>
      </c>
      <c r="I105">
        <f t="shared" si="51"/>
        <v>100</v>
      </c>
      <c r="J105">
        <f t="shared" si="51"/>
        <v>100</v>
      </c>
      <c r="R105">
        <f t="shared" ref="R105:W105" si="52">$D$23</f>
        <v>100</v>
      </c>
      <c r="S105">
        <f t="shared" si="52"/>
        <v>100</v>
      </c>
      <c r="T105">
        <f t="shared" si="52"/>
        <v>100</v>
      </c>
      <c r="U105">
        <f t="shared" si="52"/>
        <v>100</v>
      </c>
      <c r="V105">
        <f t="shared" si="52"/>
        <v>100</v>
      </c>
      <c r="W105">
        <f t="shared" si="52"/>
        <v>100</v>
      </c>
      <c r="X105">
        <f t="shared" ref="X105:AE105" si="53">$D$25</f>
        <v>100</v>
      </c>
      <c r="Y105">
        <f t="shared" si="53"/>
        <v>100</v>
      </c>
      <c r="Z105">
        <f t="shared" si="53"/>
        <v>100</v>
      </c>
      <c r="AA105">
        <f t="shared" si="53"/>
        <v>100</v>
      </c>
      <c r="AB105">
        <f t="shared" si="53"/>
        <v>100</v>
      </c>
      <c r="AC105">
        <f t="shared" si="53"/>
        <v>100</v>
      </c>
      <c r="AD105">
        <f t="shared" si="53"/>
        <v>100</v>
      </c>
      <c r="AE105">
        <f t="shared" si="53"/>
        <v>100</v>
      </c>
    </row>
    <row r="106" spans="2:31" ht="12.75" x14ac:dyDescent="0.2">
      <c r="B106" t="s">
        <v>86</v>
      </c>
      <c r="C106">
        <f t="shared" ref="C106:J106" si="54">$D$22</f>
        <v>50</v>
      </c>
      <c r="D106">
        <f t="shared" si="54"/>
        <v>50</v>
      </c>
      <c r="E106">
        <f t="shared" si="54"/>
        <v>50</v>
      </c>
      <c r="F106">
        <f t="shared" si="54"/>
        <v>50</v>
      </c>
      <c r="G106">
        <f t="shared" si="54"/>
        <v>50</v>
      </c>
      <c r="H106">
        <f t="shared" si="54"/>
        <v>50</v>
      </c>
      <c r="I106">
        <f t="shared" si="54"/>
        <v>50</v>
      </c>
      <c r="J106">
        <f t="shared" si="54"/>
        <v>50</v>
      </c>
      <c r="R106">
        <f t="shared" ref="R106:W106" si="55">$D$24</f>
        <v>50</v>
      </c>
      <c r="S106">
        <f t="shared" si="55"/>
        <v>50</v>
      </c>
      <c r="T106">
        <f t="shared" si="55"/>
        <v>50</v>
      </c>
      <c r="U106">
        <f t="shared" si="55"/>
        <v>50</v>
      </c>
      <c r="V106">
        <f t="shared" si="55"/>
        <v>50</v>
      </c>
      <c r="W106">
        <f t="shared" si="55"/>
        <v>50</v>
      </c>
      <c r="X106">
        <f t="shared" ref="X106:AE106" si="56">$D$26</f>
        <v>50</v>
      </c>
      <c r="Y106">
        <f t="shared" si="56"/>
        <v>50</v>
      </c>
      <c r="Z106">
        <f t="shared" si="56"/>
        <v>50</v>
      </c>
      <c r="AA106">
        <f t="shared" si="56"/>
        <v>50</v>
      </c>
      <c r="AB106">
        <f t="shared" si="56"/>
        <v>50</v>
      </c>
      <c r="AC106">
        <f t="shared" si="56"/>
        <v>50</v>
      </c>
      <c r="AD106">
        <f t="shared" si="56"/>
        <v>50</v>
      </c>
      <c r="AE106">
        <f t="shared" si="56"/>
        <v>50</v>
      </c>
    </row>
    <row r="108" spans="2:31" ht="12.75" x14ac:dyDescent="0.2">
      <c r="B108" t="s">
        <v>87</v>
      </c>
      <c r="C108">
        <f t="shared" ref="C108:J108" si="57">C101+C96+C102+C103+C104+C105+C106</f>
        <v>1332</v>
      </c>
      <c r="D108">
        <f t="shared" si="57"/>
        <v>1636</v>
      </c>
      <c r="E108">
        <f t="shared" si="57"/>
        <v>1940</v>
      </c>
      <c r="F108">
        <f t="shared" si="57"/>
        <v>2247</v>
      </c>
      <c r="G108">
        <f t="shared" si="57"/>
        <v>2747</v>
      </c>
      <c r="H108">
        <f t="shared" si="57"/>
        <v>2551</v>
      </c>
      <c r="I108">
        <f t="shared" si="57"/>
        <v>2851</v>
      </c>
      <c r="J108">
        <f t="shared" si="57"/>
        <v>3051</v>
      </c>
      <c r="R108">
        <f t="shared" ref="R108:AE108" si="58">R101+R96+R102+R103+R104+R105+R106</f>
        <v>3466</v>
      </c>
      <c r="S108">
        <f t="shared" si="58"/>
        <v>3770</v>
      </c>
      <c r="T108">
        <f t="shared" si="58"/>
        <v>4074</v>
      </c>
      <c r="U108">
        <f t="shared" si="58"/>
        <v>4077</v>
      </c>
      <c r="V108">
        <f t="shared" si="58"/>
        <v>4381</v>
      </c>
      <c r="W108">
        <f t="shared" si="58"/>
        <v>4685</v>
      </c>
      <c r="X108">
        <f t="shared" si="58"/>
        <v>3162</v>
      </c>
      <c r="Y108">
        <f t="shared" si="58"/>
        <v>3466</v>
      </c>
      <c r="Z108">
        <f t="shared" si="58"/>
        <v>4378</v>
      </c>
      <c r="AA108">
        <f t="shared" si="58"/>
        <v>4682</v>
      </c>
      <c r="AB108">
        <f t="shared" si="58"/>
        <v>4986</v>
      </c>
      <c r="AC108">
        <f t="shared" si="58"/>
        <v>5293</v>
      </c>
      <c r="AD108">
        <f t="shared" si="58"/>
        <v>5600</v>
      </c>
      <c r="AE108">
        <f t="shared" si="58"/>
        <v>5907</v>
      </c>
    </row>
    <row r="110" spans="2:31" ht="12.75" x14ac:dyDescent="0.2">
      <c r="B110" t="s">
        <v>88</v>
      </c>
      <c r="C110">
        <f t="shared" ref="C110:J110" si="59">IF($C$5="Hollow",$G$21,$H$21)</f>
        <v>450</v>
      </c>
      <c r="D110">
        <f t="shared" si="59"/>
        <v>450</v>
      </c>
      <c r="E110">
        <f t="shared" si="59"/>
        <v>450</v>
      </c>
      <c r="F110">
        <f t="shared" si="59"/>
        <v>450</v>
      </c>
      <c r="G110">
        <f t="shared" si="59"/>
        <v>450</v>
      </c>
      <c r="H110">
        <f t="shared" si="59"/>
        <v>450</v>
      </c>
      <c r="I110">
        <f t="shared" si="59"/>
        <v>450</v>
      </c>
      <c r="J110">
        <f t="shared" si="59"/>
        <v>450</v>
      </c>
      <c r="R110">
        <f t="shared" ref="R110:W110" si="60">IF($C$5="Hollow",$G$23,$H$23)</f>
        <v>300</v>
      </c>
      <c r="S110">
        <f t="shared" si="60"/>
        <v>300</v>
      </c>
      <c r="T110">
        <f t="shared" si="60"/>
        <v>300</v>
      </c>
      <c r="U110">
        <f t="shared" si="60"/>
        <v>300</v>
      </c>
      <c r="V110">
        <f t="shared" si="60"/>
        <v>300</v>
      </c>
      <c r="W110">
        <f t="shared" si="60"/>
        <v>300</v>
      </c>
      <c r="X110">
        <f t="shared" ref="X110:AE110" si="61">IF($C$5="Hollow",$G$25,$H$25)</f>
        <v>300</v>
      </c>
      <c r="Y110">
        <f t="shared" si="61"/>
        <v>300</v>
      </c>
      <c r="Z110">
        <f t="shared" si="61"/>
        <v>300</v>
      </c>
      <c r="AA110">
        <f t="shared" si="61"/>
        <v>300</v>
      </c>
      <c r="AB110">
        <f t="shared" si="61"/>
        <v>300</v>
      </c>
      <c r="AC110">
        <f t="shared" si="61"/>
        <v>300</v>
      </c>
      <c r="AD110">
        <f t="shared" si="61"/>
        <v>300</v>
      </c>
      <c r="AE110">
        <f t="shared" si="61"/>
        <v>300</v>
      </c>
    </row>
    <row r="111" spans="2:31" ht="12.75" x14ac:dyDescent="0.2">
      <c r="B111" t="s">
        <v>89</v>
      </c>
      <c r="C111">
        <f t="shared" ref="C111:J111" si="62">IF($C$5="Hollow",$G$22,$H$22)</f>
        <v>300</v>
      </c>
      <c r="D111">
        <f t="shared" si="62"/>
        <v>300</v>
      </c>
      <c r="E111">
        <f t="shared" si="62"/>
        <v>300</v>
      </c>
      <c r="F111">
        <f t="shared" si="62"/>
        <v>300</v>
      </c>
      <c r="G111">
        <f t="shared" si="62"/>
        <v>300</v>
      </c>
      <c r="H111">
        <f t="shared" si="62"/>
        <v>300</v>
      </c>
      <c r="I111">
        <f t="shared" si="62"/>
        <v>300</v>
      </c>
      <c r="J111">
        <f t="shared" si="62"/>
        <v>300</v>
      </c>
      <c r="R111">
        <f t="shared" ref="R111:W111" si="63">IF($C$5="Hollow",$G$24,$H$24)</f>
        <v>300</v>
      </c>
      <c r="S111">
        <f t="shared" si="63"/>
        <v>300</v>
      </c>
      <c r="T111">
        <f t="shared" si="63"/>
        <v>300</v>
      </c>
      <c r="U111">
        <f t="shared" si="63"/>
        <v>300</v>
      </c>
      <c r="V111">
        <f t="shared" si="63"/>
        <v>300</v>
      </c>
      <c r="W111">
        <f t="shared" si="63"/>
        <v>300</v>
      </c>
      <c r="X111">
        <f t="shared" ref="X111:AE111" si="64">IF($C$5="Hollow",$G$26,$H$26)</f>
        <v>300</v>
      </c>
      <c r="Y111">
        <f t="shared" si="64"/>
        <v>300</v>
      </c>
      <c r="Z111">
        <f t="shared" si="64"/>
        <v>300</v>
      </c>
      <c r="AA111">
        <f t="shared" si="64"/>
        <v>300</v>
      </c>
      <c r="AB111">
        <f t="shared" si="64"/>
        <v>300</v>
      </c>
      <c r="AC111">
        <f t="shared" si="64"/>
        <v>300</v>
      </c>
      <c r="AD111">
        <f t="shared" si="64"/>
        <v>300</v>
      </c>
      <c r="AE111">
        <f t="shared" si="64"/>
        <v>300</v>
      </c>
    </row>
    <row r="113" spans="1:31" ht="12.75" x14ac:dyDescent="0.2">
      <c r="B113" t="s">
        <v>90</v>
      </c>
      <c r="C113">
        <f t="shared" ref="C113:J113" si="65">C101+C96+C102+C103+C104+C110+C111</f>
        <v>1932</v>
      </c>
      <c r="D113">
        <f t="shared" si="65"/>
        <v>2236</v>
      </c>
      <c r="E113">
        <f t="shared" si="65"/>
        <v>2540</v>
      </c>
      <c r="F113">
        <f t="shared" si="65"/>
        <v>2847</v>
      </c>
      <c r="G113">
        <f t="shared" si="65"/>
        <v>3347</v>
      </c>
      <c r="H113">
        <f t="shared" si="65"/>
        <v>3151</v>
      </c>
      <c r="I113">
        <f t="shared" si="65"/>
        <v>3451</v>
      </c>
      <c r="J113">
        <f t="shared" si="65"/>
        <v>3651</v>
      </c>
      <c r="R113">
        <f t="shared" ref="R113:AE113" si="66">R101+R96+R102+R103+R104+R110+R111</f>
        <v>3916</v>
      </c>
      <c r="S113">
        <f t="shared" si="66"/>
        <v>4220</v>
      </c>
      <c r="T113">
        <f t="shared" si="66"/>
        <v>4524</v>
      </c>
      <c r="U113">
        <f t="shared" si="66"/>
        <v>4527</v>
      </c>
      <c r="V113">
        <f t="shared" si="66"/>
        <v>4831</v>
      </c>
      <c r="W113">
        <f t="shared" si="66"/>
        <v>5135</v>
      </c>
      <c r="X113">
        <f t="shared" si="66"/>
        <v>3612</v>
      </c>
      <c r="Y113">
        <f t="shared" si="66"/>
        <v>3916</v>
      </c>
      <c r="Z113">
        <f t="shared" si="66"/>
        <v>4828</v>
      </c>
      <c r="AA113">
        <f t="shared" si="66"/>
        <v>5132</v>
      </c>
      <c r="AB113">
        <f t="shared" si="66"/>
        <v>5436</v>
      </c>
      <c r="AC113">
        <f t="shared" si="66"/>
        <v>5743</v>
      </c>
      <c r="AD113">
        <f t="shared" si="66"/>
        <v>6050</v>
      </c>
      <c r="AE113">
        <f t="shared" si="66"/>
        <v>6357</v>
      </c>
    </row>
    <row r="115" spans="1:31" ht="12.75" x14ac:dyDescent="0.2">
      <c r="B115" t="s">
        <v>91</v>
      </c>
      <c r="C115" t="b">
        <f t="shared" ref="C115:J115" si="67">IF(C96&gt;0,$C$5="Hollow",TRUE)</f>
        <v>1</v>
      </c>
      <c r="D115" t="b">
        <f t="shared" si="67"/>
        <v>1</v>
      </c>
      <c r="E115" t="b">
        <f t="shared" si="67"/>
        <v>1</v>
      </c>
      <c r="F115" t="b">
        <f t="shared" si="67"/>
        <v>1</v>
      </c>
      <c r="G115" t="b">
        <f t="shared" si="67"/>
        <v>1</v>
      </c>
      <c r="H115" t="b">
        <f t="shared" si="67"/>
        <v>1</v>
      </c>
      <c r="I115" t="b">
        <f t="shared" si="67"/>
        <v>1</v>
      </c>
      <c r="J115" t="b">
        <f t="shared" si="67"/>
        <v>1</v>
      </c>
      <c r="R115" t="b">
        <f t="shared" ref="R115:AE115" si="68">IF(R96&gt;0,$C$5="Hollow",TRUE)</f>
        <v>1</v>
      </c>
      <c r="S115" t="b">
        <f t="shared" si="68"/>
        <v>1</v>
      </c>
      <c r="T115" t="b">
        <f t="shared" si="68"/>
        <v>1</v>
      </c>
      <c r="U115" t="b">
        <f t="shared" si="68"/>
        <v>1</v>
      </c>
      <c r="V115" t="b">
        <f t="shared" si="68"/>
        <v>1</v>
      </c>
      <c r="W115" t="b">
        <f t="shared" si="68"/>
        <v>1</v>
      </c>
      <c r="X115" t="b">
        <f t="shared" si="68"/>
        <v>1</v>
      </c>
      <c r="Y115" t="b">
        <f t="shared" si="68"/>
        <v>1</v>
      </c>
      <c r="Z115" t="b">
        <f t="shared" si="68"/>
        <v>1</v>
      </c>
      <c r="AA115" t="b">
        <f t="shared" si="68"/>
        <v>1</v>
      </c>
      <c r="AB115" t="b">
        <f t="shared" si="68"/>
        <v>1</v>
      </c>
      <c r="AC115" t="b">
        <f t="shared" si="68"/>
        <v>1</v>
      </c>
      <c r="AD115" t="b">
        <f t="shared" si="68"/>
        <v>1</v>
      </c>
      <c r="AE115" t="b">
        <f t="shared" si="68"/>
        <v>1</v>
      </c>
    </row>
    <row r="116" spans="1:31" ht="12.75" x14ac:dyDescent="0.2">
      <c r="B116" t="s">
        <v>92</v>
      </c>
      <c r="C116" t="b">
        <f t="shared" ref="C116:J116" si="69">$C$40&gt;=C108</f>
        <v>0</v>
      </c>
      <c r="D116" t="b">
        <f t="shared" si="69"/>
        <v>0</v>
      </c>
      <c r="E116" t="b">
        <f t="shared" si="69"/>
        <v>0</v>
      </c>
      <c r="F116" t="b">
        <f t="shared" si="69"/>
        <v>0</v>
      </c>
      <c r="G116" t="b">
        <f t="shared" si="69"/>
        <v>0</v>
      </c>
      <c r="H116" t="b">
        <f t="shared" si="69"/>
        <v>0</v>
      </c>
      <c r="I116" t="b">
        <f t="shared" si="69"/>
        <v>0</v>
      </c>
      <c r="J116" t="b">
        <f t="shared" si="69"/>
        <v>0</v>
      </c>
      <c r="R116" t="b">
        <f t="shared" ref="R116:AE116" si="70">$C$40&gt;=R108</f>
        <v>0</v>
      </c>
      <c r="S116" t="b">
        <f t="shared" si="70"/>
        <v>0</v>
      </c>
      <c r="T116" t="b">
        <f t="shared" si="70"/>
        <v>0</v>
      </c>
      <c r="U116" t="b">
        <f t="shared" si="70"/>
        <v>0</v>
      </c>
      <c r="V116" t="b">
        <f t="shared" si="70"/>
        <v>0</v>
      </c>
      <c r="W116" t="b">
        <f t="shared" si="70"/>
        <v>0</v>
      </c>
      <c r="X116" t="b">
        <f t="shared" si="70"/>
        <v>0</v>
      </c>
      <c r="Y116" t="b">
        <f t="shared" si="70"/>
        <v>0</v>
      </c>
      <c r="Z116" t="b">
        <f t="shared" si="70"/>
        <v>0</v>
      </c>
      <c r="AA116" t="b">
        <f t="shared" si="70"/>
        <v>0</v>
      </c>
      <c r="AB116" t="b">
        <f t="shared" si="70"/>
        <v>0</v>
      </c>
      <c r="AC116" t="b">
        <f t="shared" si="70"/>
        <v>0</v>
      </c>
      <c r="AD116" t="b">
        <f t="shared" si="70"/>
        <v>0</v>
      </c>
      <c r="AE116" t="b">
        <f t="shared" si="70"/>
        <v>0</v>
      </c>
    </row>
    <row r="117" spans="1:31" ht="12.75" x14ac:dyDescent="0.2">
      <c r="B117" t="s">
        <v>93</v>
      </c>
      <c r="C117" t="b">
        <f t="shared" ref="C117:J117" si="71">$C$40&lt;=C113</f>
        <v>1</v>
      </c>
      <c r="D117" t="b">
        <f t="shared" si="71"/>
        <v>1</v>
      </c>
      <c r="E117" t="b">
        <f t="shared" si="71"/>
        <v>1</v>
      </c>
      <c r="F117" t="b">
        <f t="shared" si="71"/>
        <v>1</v>
      </c>
      <c r="G117" t="b">
        <f t="shared" si="71"/>
        <v>1</v>
      </c>
      <c r="H117" t="b">
        <f t="shared" si="71"/>
        <v>1</v>
      </c>
      <c r="I117" t="b">
        <f t="shared" si="71"/>
        <v>1</v>
      </c>
      <c r="J117" t="b">
        <f t="shared" si="71"/>
        <v>1</v>
      </c>
      <c r="R117" t="b">
        <f t="shared" ref="R117:AE117" si="72">$C$40&lt;=R113</f>
        <v>1</v>
      </c>
      <c r="S117" t="b">
        <f t="shared" si="72"/>
        <v>1</v>
      </c>
      <c r="T117" t="b">
        <f t="shared" si="72"/>
        <v>1</v>
      </c>
      <c r="U117" t="b">
        <f t="shared" si="72"/>
        <v>1</v>
      </c>
      <c r="V117" t="b">
        <f t="shared" si="72"/>
        <v>1</v>
      </c>
      <c r="W117" t="b">
        <f t="shared" si="72"/>
        <v>1</v>
      </c>
      <c r="X117" t="b">
        <f t="shared" si="72"/>
        <v>1</v>
      </c>
      <c r="Y117" t="b">
        <f t="shared" si="72"/>
        <v>1</v>
      </c>
      <c r="Z117" t="b">
        <f t="shared" si="72"/>
        <v>1</v>
      </c>
      <c r="AA117" t="b">
        <f t="shared" si="72"/>
        <v>1</v>
      </c>
      <c r="AB117" t="b">
        <f t="shared" si="72"/>
        <v>1</v>
      </c>
      <c r="AC117" t="b">
        <f t="shared" si="72"/>
        <v>1</v>
      </c>
      <c r="AD117" t="b">
        <f t="shared" si="72"/>
        <v>1</v>
      </c>
      <c r="AE117" t="b">
        <f t="shared" si="72"/>
        <v>1</v>
      </c>
    </row>
    <row r="118" spans="1:31" ht="12.75" x14ac:dyDescent="0.2">
      <c r="B118" t="s">
        <v>94</v>
      </c>
      <c r="C118" t="b">
        <f t="shared" ref="C118:J118" si="73">AND(C115,C116,C117)</f>
        <v>0</v>
      </c>
      <c r="D118" t="b">
        <f t="shared" si="73"/>
        <v>0</v>
      </c>
      <c r="E118" t="b">
        <f t="shared" si="73"/>
        <v>0</v>
      </c>
      <c r="F118" t="b">
        <f t="shared" si="73"/>
        <v>0</v>
      </c>
      <c r="G118" t="b">
        <f t="shared" si="73"/>
        <v>0</v>
      </c>
      <c r="H118" t="b">
        <f t="shared" si="73"/>
        <v>0</v>
      </c>
      <c r="I118" t="b">
        <f t="shared" si="73"/>
        <v>0</v>
      </c>
      <c r="J118" t="b">
        <f t="shared" si="73"/>
        <v>0</v>
      </c>
      <c r="R118" t="b">
        <f t="shared" ref="R118:AE118" si="74">AND(R115,R116,R117)</f>
        <v>0</v>
      </c>
      <c r="S118" t="b">
        <f t="shared" si="74"/>
        <v>0</v>
      </c>
      <c r="T118" t="b">
        <f t="shared" si="74"/>
        <v>0</v>
      </c>
      <c r="U118" t="b">
        <f t="shared" si="74"/>
        <v>0</v>
      </c>
      <c r="V118" t="b">
        <f t="shared" si="74"/>
        <v>0</v>
      </c>
      <c r="W118" t="b">
        <f t="shared" si="74"/>
        <v>0</v>
      </c>
      <c r="X118" t="b">
        <f t="shared" si="74"/>
        <v>0</v>
      </c>
      <c r="Y118" t="b">
        <f t="shared" si="74"/>
        <v>0</v>
      </c>
      <c r="Z118" t="b">
        <f t="shared" si="74"/>
        <v>0</v>
      </c>
      <c r="AA118" t="b">
        <f t="shared" si="74"/>
        <v>0</v>
      </c>
      <c r="AB118" t="b">
        <f t="shared" si="74"/>
        <v>0</v>
      </c>
      <c r="AC118" t="b">
        <f t="shared" si="74"/>
        <v>0</v>
      </c>
      <c r="AD118" t="b">
        <f t="shared" si="74"/>
        <v>0</v>
      </c>
      <c r="AE118" t="b">
        <f t="shared" si="74"/>
        <v>0</v>
      </c>
    </row>
    <row r="120" spans="1:31" ht="12.75" x14ac:dyDescent="0.2">
      <c r="B120" t="s">
        <v>95</v>
      </c>
      <c r="C120" t="str">
        <f t="shared" ref="C120:J120" si="75">IF(C118,C90,"")</f>
        <v/>
      </c>
      <c r="D120" t="str">
        <f t="shared" si="75"/>
        <v/>
      </c>
      <c r="E120" t="str">
        <f t="shared" si="75"/>
        <v/>
      </c>
      <c r="F120" t="str">
        <f t="shared" si="75"/>
        <v/>
      </c>
      <c r="G120" t="str">
        <f t="shared" si="75"/>
        <v/>
      </c>
      <c r="H120" t="str">
        <f t="shared" si="75"/>
        <v/>
      </c>
      <c r="I120" t="str">
        <f t="shared" si="75"/>
        <v/>
      </c>
      <c r="J120" t="str">
        <f t="shared" si="75"/>
        <v/>
      </c>
      <c r="R120" t="str">
        <f t="shared" ref="R120:AE120" si="76">IF(R118,R90,"")</f>
        <v/>
      </c>
      <c r="S120" t="str">
        <f t="shared" si="76"/>
        <v/>
      </c>
      <c r="T120" t="str">
        <f t="shared" si="76"/>
        <v/>
      </c>
      <c r="U120" t="str">
        <f t="shared" si="76"/>
        <v/>
      </c>
      <c r="V120" t="str">
        <f t="shared" si="76"/>
        <v/>
      </c>
      <c r="W120" t="str">
        <f t="shared" si="76"/>
        <v/>
      </c>
      <c r="X120" t="str">
        <f t="shared" si="76"/>
        <v/>
      </c>
      <c r="Y120" t="str">
        <f t="shared" si="76"/>
        <v/>
      </c>
      <c r="Z120" t="str">
        <f t="shared" si="76"/>
        <v/>
      </c>
      <c r="AA120" t="str">
        <f t="shared" si="76"/>
        <v/>
      </c>
      <c r="AB120" t="str">
        <f t="shared" si="76"/>
        <v/>
      </c>
      <c r="AC120" t="str">
        <f t="shared" si="76"/>
        <v/>
      </c>
      <c r="AD120" t="str">
        <f t="shared" si="76"/>
        <v/>
      </c>
      <c r="AE120" t="str">
        <f t="shared" si="76"/>
        <v/>
      </c>
    </row>
    <row r="121" spans="1:31" ht="12.75" x14ac:dyDescent="0.2">
      <c r="B121" t="s">
        <v>96</v>
      </c>
      <c r="C121" t="str">
        <f>IF(C118,C90,"")</f>
        <v/>
      </c>
      <c r="D121" t="str">
        <f>IF(D118,D90,"")</f>
        <v/>
      </c>
      <c r="E121" t="str">
        <f>IF(E118,E90,"")</f>
        <v/>
      </c>
      <c r="F121" t="str">
        <f>IF(F118,F90,IF(G118,G90,""))</f>
        <v/>
      </c>
      <c r="K121" t="str">
        <f>IF(H118,H90,IF(I118,I90,IF(J118,J90,"")))</f>
        <v/>
      </c>
      <c r="R121" t="str">
        <f t="shared" ref="R121:W121" si="77">R120</f>
        <v/>
      </c>
      <c r="S121" t="str">
        <f t="shared" si="77"/>
        <v/>
      </c>
      <c r="T121" t="str">
        <f t="shared" si="77"/>
        <v/>
      </c>
      <c r="U121" t="str">
        <f t="shared" si="77"/>
        <v/>
      </c>
      <c r="V121" t="str">
        <f t="shared" si="77"/>
        <v/>
      </c>
      <c r="W121" t="str">
        <f t="shared" si="77"/>
        <v/>
      </c>
    </row>
    <row r="123" spans="1:31" ht="12.75" x14ac:dyDescent="0.2">
      <c r="A123" t="s">
        <v>0</v>
      </c>
      <c r="B123" t="s">
        <v>0</v>
      </c>
    </row>
    <row r="124" spans="1:31" ht="12.75" x14ac:dyDescent="0.2">
      <c r="B124" t="s">
        <v>97</v>
      </c>
      <c r="C124" t="str">
        <f>_xlfn.TEXTJOIN("  |  ",TRUE,C121:K121)</f>
        <v/>
      </c>
    </row>
    <row r="125" spans="1:31" ht="12.75" x14ac:dyDescent="0.2">
      <c r="B125" t="s">
        <v>98</v>
      </c>
      <c r="C125" t="str">
        <f>_xlfn.TEXTJOIN("  |  ",TRUE,R121:W121)</f>
        <v/>
      </c>
    </row>
    <row r="126" spans="1:31" ht="12.75" x14ac:dyDescent="0.2">
      <c r="B126" t="s">
        <v>99</v>
      </c>
      <c r="C126" t="s">
        <v>100</v>
      </c>
    </row>
    <row r="127" spans="1:31" ht="12.75" x14ac:dyDescent="0.2">
      <c r="A127" t="s">
        <v>0</v>
      </c>
      <c r="B127" t="s">
        <v>0</v>
      </c>
    </row>
    <row r="128" spans="1:31" ht="12.75" x14ac:dyDescent="0.2">
      <c r="B128" t="s">
        <v>97</v>
      </c>
      <c r="C128" t="str">
        <f>_xlfn.TEXTJOIN("  |  ",TRUE,C120:J120)</f>
        <v/>
      </c>
    </row>
    <row r="129" spans="1:3" ht="12.75" x14ac:dyDescent="0.2">
      <c r="B129" t="s">
        <v>98</v>
      </c>
      <c r="C129" t="str">
        <f>_xlfn.TEXTJOIN("  |  ",TRUE,R120:W120)</f>
        <v/>
      </c>
    </row>
    <row r="130" spans="1:3" ht="12.75" x14ac:dyDescent="0.2">
      <c r="B130" t="s">
        <v>99</v>
      </c>
      <c r="C130" t="str">
        <f>_xlfn.TEXTJOIN("  |  ",TRUE,X120:AE120)</f>
        <v/>
      </c>
    </row>
    <row r="133" spans="1:3" ht="12.75" x14ac:dyDescent="0.2">
      <c r="A133" t="s">
        <v>0</v>
      </c>
      <c r="B133" t="s">
        <v>0</v>
      </c>
    </row>
    <row r="134" spans="1:3" ht="12.75" x14ac:dyDescent="0.2">
      <c r="A134" t="s">
        <v>0</v>
      </c>
      <c r="B134" t="s">
        <v>0</v>
      </c>
    </row>
    <row r="135" spans="1:3" ht="12.75" x14ac:dyDescent="0.2">
      <c r="A135" t="s">
        <v>0</v>
      </c>
      <c r="B135" t="s">
        <v>0</v>
      </c>
    </row>
    <row r="136" spans="1:3" ht="12.75" x14ac:dyDescent="0.2">
      <c r="A136" t="s">
        <v>0</v>
      </c>
      <c r="B136" t="s">
        <v>0</v>
      </c>
    </row>
    <row r="137" spans="1:3" ht="12.75" x14ac:dyDescent="0.2">
      <c r="A137" t="s">
        <v>0</v>
      </c>
      <c r="B137" t="s">
        <v>0</v>
      </c>
    </row>
    <row r="138" spans="1:3" ht="12.75" x14ac:dyDescent="0.2">
      <c r="A138" t="s">
        <v>0</v>
      </c>
      <c r="B138" t="s">
        <v>0</v>
      </c>
    </row>
    <row r="139" spans="1:3" ht="12.75" x14ac:dyDescent="0.2">
      <c r="A139" t="s">
        <v>0</v>
      </c>
      <c r="B139" t="s">
        <v>0</v>
      </c>
    </row>
    <row r="140" spans="1:3" ht="12.75" x14ac:dyDescent="0.2">
      <c r="A140" t="s">
        <v>0</v>
      </c>
      <c r="B140" t="s">
        <v>0</v>
      </c>
    </row>
    <row r="141" spans="1:3" ht="12.75" x14ac:dyDescent="0.2">
      <c r="A141" t="s">
        <v>0</v>
      </c>
      <c r="B141" t="s">
        <v>0</v>
      </c>
    </row>
    <row r="142" spans="1:3" ht="12.75" x14ac:dyDescent="0.2">
      <c r="A142" t="s">
        <v>0</v>
      </c>
      <c r="B142" t="s">
        <v>0</v>
      </c>
    </row>
    <row r="143" spans="1:3" ht="12.75" x14ac:dyDescent="0.2">
      <c r="A143" t="s">
        <v>0</v>
      </c>
      <c r="B143" t="s">
        <v>0</v>
      </c>
    </row>
    <row r="144" spans="1:3" ht="12.75" x14ac:dyDescent="0.2">
      <c r="A144" t="s">
        <v>0</v>
      </c>
      <c r="B144" t="s">
        <v>0</v>
      </c>
    </row>
    <row r="146" spans="1:2" ht="12.75" x14ac:dyDescent="0.2">
      <c r="A146" t="s">
        <v>0</v>
      </c>
      <c r="B146" t="s">
        <v>0</v>
      </c>
    </row>
    <row r="147" spans="1:2" ht="12.75" x14ac:dyDescent="0.2">
      <c r="A147" t="s">
        <v>0</v>
      </c>
      <c r="B147" t="s">
        <v>0</v>
      </c>
    </row>
    <row r="148" spans="1:2" ht="12.75" x14ac:dyDescent="0.2">
      <c r="A148" t="s">
        <v>0</v>
      </c>
      <c r="B148" t="s">
        <v>0</v>
      </c>
    </row>
    <row r="149" spans="1:2" ht="12.75" x14ac:dyDescent="0.2">
      <c r="A149" t="s">
        <v>0</v>
      </c>
      <c r="B149" t="s">
        <v>0</v>
      </c>
    </row>
    <row r="150" spans="1:2" ht="12.75" x14ac:dyDescent="0.2">
      <c r="A150" t="s">
        <v>0</v>
      </c>
      <c r="B150" t="s">
        <v>0</v>
      </c>
    </row>
    <row r="151" spans="1:2" ht="12.75" x14ac:dyDescent="0.2">
      <c r="A151" t="s">
        <v>0</v>
      </c>
      <c r="B151" t="s">
        <v>0</v>
      </c>
    </row>
    <row r="152" spans="1:2" ht="12.75" x14ac:dyDescent="0.2">
      <c r="A152" t="s">
        <v>0</v>
      </c>
      <c r="B152" t="s">
        <v>0</v>
      </c>
    </row>
    <row r="153" spans="1:2" ht="12.75" x14ac:dyDescent="0.2">
      <c r="A153" t="s">
        <v>0</v>
      </c>
      <c r="B153" t="s">
        <v>0</v>
      </c>
    </row>
    <row r="154" spans="1:2" ht="12.75" x14ac:dyDescent="0.2">
      <c r="A154" t="s">
        <v>0</v>
      </c>
      <c r="B154" t="s">
        <v>0</v>
      </c>
    </row>
  </sheetData>
  <dataValidations count="1">
    <dataValidation type="list" allowBlank="1" showInputMessage="1" showErrorMessage="1" sqref="C5" xr:uid="{00000000-0002-0000-0000-000000000000}">
      <formula1>"Hollow,Solid"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Mat. Selection 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Conrad Kyvetos</cp:lastModifiedBy>
  <dcterms:modified xsi:type="dcterms:W3CDTF">2026-07-02T01:54:12Z</dcterms:modified>
</cp:coreProperties>
</file>